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s" sheetId="1" r:id="rId5"/>
    <sheet state="visible" name="B̳ases" sheetId="2" r:id="rId6"/>
    <sheet state="visible" name="Tabela dinâmica 1" sheetId="3" r:id="rId7"/>
    <sheet state="visible" name="C̳álculos" sheetId="4" r:id="rId8"/>
    <sheet state="visible" name="D̳ashboard" sheetId="5" r:id="rId9"/>
  </sheets>
  <definedNames>
    <definedName hidden="1" localSheetId="2" name="Z_4ACE90F1_FD6A_4EE0_A76D_B6E331834E3A_.wvu.FilterData">'Tabela dinâmica 1'!$A$2:$H$6</definedName>
    <definedName hidden="1" localSheetId="2" name="Z_4ACE90F1_FD6A_4EE0_A76D_B6E331834E3A_.wvu.FilterData">'Tabela dinâmica 1'!$A$2:$H$6</definedName>
    <definedName name="SlicerCache_Table_2_Col_1">#N/A</definedName>
  </definedNames>
  <calcPr/>
  <customWorkbookViews>
    <customWorkbookView activeSheetId="0" maximized="1" windowHeight="0" windowWidth="0" guid="{4ACE90F1-FD6A-4EE0-A76D-B6E331834E3A}" name="Filtro 1"/>
  </customWorkbookViews>
  <extLst>
    <ext uri="{46BE6895-7355-4a93-B00E-2C351335B9C9}">
      <x15:slicerCaches>
        <x14:slicerCache r:id="rId10"/>
      </x15:slicerCaches>
    </ext>
  </extLst>
</workbook>
</file>

<file path=xl/sharedStrings.xml><?xml version="1.0" encoding="utf-8"?>
<sst xmlns="http://schemas.openxmlformats.org/spreadsheetml/2006/main" count="1854" uniqueCount="329">
  <si>
    <t>Paleta de Cores</t>
  </si>
  <si>
    <t># 9BC848</t>
  </si>
  <si>
    <t>Xbox Color</t>
  </si>
  <si>
    <t># E8E6E9</t>
  </si>
  <si>
    <t>negative zone</t>
  </si>
  <si>
    <t># 22C55E</t>
  </si>
  <si>
    <t># 2AE6B1</t>
  </si>
  <si>
    <t>Menus</t>
  </si>
  <si>
    <t># 5BF6A8</t>
  </si>
  <si>
    <t>Logos</t>
  </si>
  <si>
    <t>ícones</t>
  </si>
  <si>
    <t>Subscriber ID</t>
  </si>
  <si>
    <t>Name</t>
  </si>
  <si>
    <t>Plan</t>
  </si>
  <si>
    <t>Start Date</t>
  </si>
  <si>
    <t>Auto Renewal</t>
  </si>
  <si>
    <t>Subscription Price</t>
  </si>
  <si>
    <t>Subscription Type</t>
  </si>
  <si>
    <t>EA Play Season Pass</t>
  </si>
  <si>
    <t>EA Play Season Pass
 Price</t>
  </si>
  <si>
    <t>Minecraft Season Pass</t>
  </si>
  <si>
    <t>Minecraft Season Pass Price</t>
  </si>
  <si>
    <t>Coupon Value</t>
  </si>
  <si>
    <t>Total Value</t>
  </si>
  <si>
    <t>Faturamento_recorrente</t>
  </si>
  <si>
    <t>Vendas_Avulsas</t>
  </si>
  <si>
    <t>Uso de cupom</t>
  </si>
  <si>
    <t xml:space="preserve">Média do cupom (R$) </t>
  </si>
  <si>
    <t>João Silva</t>
  </si>
  <si>
    <t>Ultimate</t>
  </si>
  <si>
    <t>Yes</t>
  </si>
  <si>
    <t>Monthly</t>
  </si>
  <si>
    <t>Maria Oliveira</t>
  </si>
  <si>
    <t>Core</t>
  </si>
  <si>
    <t>No</t>
  </si>
  <si>
    <t>Annual</t>
  </si>
  <si>
    <t>Lucas Fernandes</t>
  </si>
  <si>
    <t>Standard</t>
  </si>
  <si>
    <t>Quarterly</t>
  </si>
  <si>
    <t>Ana Souza</t>
  </si>
  <si>
    <t>Pedro Gonçalves</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</si>
  <si>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</si>
  <si>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</si>
  <si>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</si>
  <si>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</si>
  <si>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</si>
  <si>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</si>
  <si>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</si>
  <si>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</si>
  <si>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</si>
  <si>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</si>
  <si>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</si>
  <si>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</si>
  <si>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</si>
  <si>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</si>
  <si>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</si>
  <si>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</si>
  <si>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</si>
  <si>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</si>
  <si>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</si>
  <si>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</si>
  <si>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</si>
  <si>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</si>
  <si>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</si>
  <si>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</si>
  <si>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</si>
  <si>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</si>
  <si>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</si>
  <si>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</si>
  <si>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</si>
  <si>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</si>
  <si>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</si>
  <si>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</si>
  <si>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</si>
  <si>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</si>
  <si>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</si>
  <si>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</si>
  <si>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</si>
  <si>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</si>
  <si>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</si>
  <si>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</si>
  <si>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</si>
  <si>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</si>
  <si>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</si>
  <si>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</si>
  <si>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</si>
  <si>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</si>
  <si>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</si>
  <si>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</si>
  <si>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</si>
  <si>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</si>
  <si>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</si>
  <si>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</si>
  <si>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</si>
  <si>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</si>
  <si>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</si>
  <si>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</si>
  <si>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</si>
  <si>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</si>
  <si>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</si>
  <si>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</si>
  <si>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</si>
  <si>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</si>
  <si>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</si>
  <si>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</si>
  <si>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</si>
  <si>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</si>
  <si>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</si>
  <si>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</si>
  <si>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</si>
  <si>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</si>
  <si>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</si>
  <si>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</si>
  <si>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</si>
  <si>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</si>
  <si>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</si>
  <si>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</si>
  <si>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</si>
  <si>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</si>
  <si>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</si>
  <si>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</si>
  <si>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</si>
  <si>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</si>
  <si>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</si>
  <si>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</si>
  <si>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</si>
  <si>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</si>
  <si>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</si>
  <si>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</si>
  <si>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</si>
  <si>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</si>
  <si>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</si>
  <si>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</si>
  <si>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</si>
  <si>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</si>
  <si>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</si>
  <si>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</si>
  <si>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</si>
  <si>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</si>
  <si>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</si>
  <si>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</si>
  <si>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</si>
  <si>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</si>
  <si>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</si>
  <si>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</si>
  <si>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</si>
  <si>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</si>
  <si>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</si>
  <si>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</si>
  <si>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</si>
  <si>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</si>
  <si>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</si>
  <si>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</si>
  <si>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</si>
  <si>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</si>
  <si>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</si>
  <si>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</si>
  <si>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</si>
  <si>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</si>
  <si>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</si>
  <si>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</si>
  <si>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</si>
  <si>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</si>
  <si>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</si>
  <si>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</si>
  <si>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</si>
  <si>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</si>
  <si>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</si>
  <si>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</si>
  <si>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</si>
  <si>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</si>
  <si>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</si>
  <si>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</si>
  <si>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</si>
  <si>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</si>
  <si>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</si>
  <si>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</si>
  <si>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</si>
  <si>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</si>
  <si>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</si>
  <si>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</si>
  <si>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</si>
  <si>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</si>
  <si>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</si>
  <si>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</si>
  <si>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</si>
  <si>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</si>
  <si>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</si>
  <si>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</si>
  <si>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</si>
  <si>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</si>
  <si>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</si>
  <si>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</si>
  <si>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</si>
  <si>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</si>
  <si>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</si>
  <si>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</si>
  <si>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</si>
  <si>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</si>
  <si>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</si>
  <si>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</si>
  <si>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</si>
  <si>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</si>
  <si>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</si>
  <si>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</si>
  <si>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</si>
  <si>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</si>
  <si>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</si>
  <si>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</si>
  <si>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</si>
  <si>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</si>
  <si>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</si>
  <si>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</si>
  <si>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</si>
  <si>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</si>
  <si>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</si>
  <si>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</si>
  <si>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</si>
  <si>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</si>
  <si>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</si>
  <si>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</si>
  <si>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</si>
  <si>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</si>
  <si>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</si>
  <si>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</si>
  <si>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</si>
  <si>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</si>
  <si>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</si>
  <si>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</si>
  <si>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</si>
  <si>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</si>
  <si>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</si>
  <si>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</si>
  <si>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</si>
  <si>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</si>
  <si>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</si>
  <si>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</si>
  <si>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</si>
  <si>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</si>
  <si>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</si>
  <si>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</si>
  <si>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</si>
  <si>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</si>
  <si>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</si>
  <si>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</si>
  <si>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</si>
  <si>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</si>
  <si>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</si>
  <si>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</si>
  <si>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</si>
  <si>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</si>
  <si>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</si>
  <si>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</si>
  <si>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</si>
  <si>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</si>
  <si>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</si>
  <si>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</si>
  <si>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</si>
  <si>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</si>
  <si>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</si>
  <si>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</si>
  <si>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</si>
  <si>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</si>
  <si>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</si>
  <si>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</si>
  <si>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</si>
  <si>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</si>
  <si>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</si>
  <si>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</si>
  <si>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</si>
  <si>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</si>
  <si>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</si>
  <si>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</si>
  <si>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</si>
  <si>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</si>
  <si>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</si>
  <si>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</si>
  <si>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</si>
  <si>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</si>
  <si>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</si>
  <si>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</si>
  <si>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</si>
  <si>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</si>
  <si>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</si>
  <si>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</si>
  <si>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</si>
  <si>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</si>
  <si>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</si>
  <si>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</si>
  <si>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</si>
  <si>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</si>
  <si>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</si>
  <si>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</si>
  <si>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</si>
  <si>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</si>
  <si>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</si>
  <si>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</si>
  <si>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</si>
  <si>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</si>
  <si>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</si>
  <si>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</si>
  <si>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</si>
  <si>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</si>
  <si>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</si>
  <si>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</si>
  <si>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</si>
  <si>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</si>
  <si>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</si>
  <si>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</si>
  <si>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</si>
  <si>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</si>
  <si>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</si>
  <si>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</si>
  <si>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</si>
  <si>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</si>
  <si>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</si>
  <si>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AVERAGE de Total Value</t>
  </si>
  <si>
    <t>SUM de Faturamento_recorrente</t>
  </si>
  <si>
    <t>SUM de Vendas_Avulsas</t>
  </si>
  <si>
    <t>Total geral</t>
  </si>
  <si>
    <t>média de compras</t>
  </si>
  <si>
    <t>soma de compras</t>
  </si>
  <si>
    <t>Com cupom</t>
  </si>
  <si>
    <t>Sem cupom</t>
  </si>
  <si>
    <t>SUM de Total Value</t>
  </si>
  <si>
    <t>COUNT de Total Value</t>
  </si>
  <si>
    <t xml:space="preserve">              XBOX GAME PASS SUBSCRIPTION SALES</t>
  </si>
  <si>
    <t>TOTAL CLIENTES</t>
  </si>
  <si>
    <t>TOTAL VENDAS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</si>
</sst>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R$ -416]#,##0.00"/>
    <numFmt numFmtId="165" formatCode="_-&quot;R$&quot;\ * #,##0.00_-;\-&quot;R$&quot;\ * #,##0.00_-;_-&quot;R$&quot;\ * &quot;-&quot;??_-;_-@"/>
    <numFmt numFmtId="166" formatCode="[$R$ -416]#,##0"/>
  </numFmts>
  <fonts count="14">
    <font>
      <sz val="11.0"/>
      <color theme="1"/>
      <name val="Aptos Narrow"/>
      <scheme val="minor"/>
    </font>
    <font>
      <b/>
      <sz val="15.0"/>
      <color rgb="FF0E2841"/>
      <name val="Aptos Narrow"/>
    </font>
    <font>
      <sz val="11.0"/>
      <color theme="1"/>
      <name val="Aptos Narrow"/>
    </font>
    <font>
      <color theme="1"/>
      <name val="Aptos Narrow"/>
      <scheme val="minor"/>
    </font>
    <font>
      <sz val="11.0"/>
      <color theme="1"/>
      <name val="Arial"/>
    </font>
    <font>
      <b/>
      <sz val="11.0"/>
      <color rgb="FFFFFFFF"/>
      <name val="&quot;Aptos Narrow&quot;"/>
    </font>
    <font>
      <b/>
      <sz val="11.0"/>
      <color rgb="FFFFFFFF"/>
      <name val="Arial"/>
    </font>
    <font>
      <sz val="11.0"/>
      <color rgb="FF000000"/>
      <name val="&quot;Aptos Narrow&quot;"/>
    </font>
    <font>
      <sz val="11.0"/>
      <color rgb="FF000000"/>
      <name val="Arial"/>
    </font>
    <font>
      <b/>
      <sz val="14.0"/>
      <color rgb="FF2AE6B1"/>
      <name val="Roboto"/>
    </font>
    <font>
      <sz val="39.0"/>
      <color rgb="FF2AE6B1"/>
      <name val="Roboto"/>
    </font>
    <font>
      <sz val="39.0"/>
      <color rgb="FF2AE6B1"/>
      <name val="Aptos Narrow"/>
      <scheme val="minor"/>
    </font>
    <font>
      <color rgb="FFFFFFFF"/>
      <name val="Aptos Narrow"/>
      <scheme val="minor"/>
    </font>
    <font>
      <color rgb="FFFFFFFF"/>
      <name val="Roboto"/>
    </font>
  </fonts>
  <fills count="9">
    <fill>
      <patternFill patternType="none"/>
    </fill>
    <fill>
      <patternFill patternType="lightGray"/>
    </fill>
    <fill>
      <patternFill patternType="solid">
        <fgColor rgb="FF9BC848"/>
        <bgColor rgb="FF9BC848"/>
      </patternFill>
    </fill>
    <fill>
      <patternFill patternType="solid">
        <fgColor rgb="FFE8E6E9"/>
        <bgColor rgb="FFE8E6E9"/>
      </patternFill>
    </fill>
    <fill>
      <patternFill patternType="solid">
        <fgColor rgb="FF22C55E"/>
        <bgColor rgb="FF22C55E"/>
      </patternFill>
    </fill>
    <fill>
      <patternFill patternType="solid">
        <fgColor rgb="FF2AE6B1"/>
        <bgColor rgb="FF2AE6B1"/>
      </patternFill>
    </fill>
    <fill>
      <patternFill patternType="solid">
        <fgColor rgb="FF5BF6A8"/>
        <bgColor rgb="FF5BF6A8"/>
      </patternFill>
    </fill>
    <fill>
      <patternFill patternType="solid">
        <fgColor rgb="FFAEAEAE"/>
        <bgColor rgb="FFAEAEAE"/>
      </patternFill>
    </fill>
    <fill>
      <patternFill patternType="solid">
        <fgColor rgb="FF196B24"/>
        <bgColor rgb="FF196B24"/>
      </patternFill>
    </fill>
  </fills>
  <borders count="4">
    <border/>
    <border>
      <bottom style="thick">
        <color theme="4"/>
      </bottom>
    </border>
    <border>
      <left/>
      <right/>
      <top/>
      <bottom/>
    </border>
    <border>
      <bottom style="thick">
        <color rgb="FF2AE6B1"/>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0" fontId="1" numFmtId="0" xfId="0" applyBorder="1" applyFont="1"/>
    <xf borderId="2" fillId="2" fontId="2" numFmtId="0" xfId="0" applyBorder="1" applyFill="1" applyFont="1"/>
    <xf borderId="0" fillId="0" fontId="3" numFmtId="0" xfId="0" applyFont="1"/>
    <xf borderId="2" fillId="3" fontId="2" numFmtId="0" xfId="0" applyBorder="1" applyFill="1" applyFont="1"/>
    <xf borderId="2" fillId="4" fontId="2" numFmtId="0" xfId="0" applyBorder="1" applyFill="1" applyFont="1"/>
    <xf borderId="2" fillId="5" fontId="4" numFmtId="0" xfId="0" applyAlignment="1" applyBorder="1" applyFill="1" applyFont="1">
      <alignment readingOrder="0"/>
    </xf>
    <xf borderId="2" fillId="6" fontId="2" numFmtId="0" xfId="0" applyBorder="1" applyFill="1" applyFont="1"/>
    <xf borderId="2" fillId="7" fontId="2" numFmtId="0" xfId="0" applyBorder="1" applyFill="1" applyFont="1"/>
    <xf borderId="0" fillId="8" fontId="5" numFmtId="0" xfId="0" applyAlignment="1" applyFill="1" applyFont="1">
      <alignment horizontal="center" readingOrder="0" shrinkToFit="0" wrapText="1"/>
    </xf>
    <xf borderId="0" fillId="8" fontId="6" numFmtId="0" xfId="0" applyAlignment="1" applyFont="1">
      <alignment horizontal="center" readingOrder="0" shrinkToFit="0" wrapText="1"/>
    </xf>
    <xf borderId="0" fillId="8" fontId="6" numFmtId="164" xfId="0" applyAlignment="1" applyFont="1" applyNumberFormat="1">
      <alignment horizontal="center" readingOrder="0" shrinkToFit="0" wrapText="1"/>
    </xf>
    <xf borderId="0" fillId="0" fontId="7" numFmtId="0" xfId="0" applyAlignment="1" applyFont="1">
      <alignment shrinkToFit="0" vertical="bottom" wrapText="1"/>
    </xf>
    <xf borderId="0" fillId="0" fontId="3" numFmtId="0" xfId="0" applyAlignment="1" applyFont="1">
      <alignment shrinkToFit="0" wrapText="1"/>
    </xf>
    <xf borderId="0" fillId="0" fontId="7" numFmtId="0" xfId="0" applyAlignment="1" applyFont="1">
      <alignment horizontal="center" readingOrder="0"/>
    </xf>
    <xf borderId="0" fillId="0" fontId="7" numFmtId="14" xfId="0" applyAlignment="1" applyFont="1" applyNumberFormat="1">
      <alignment horizontal="center" readingOrder="0"/>
    </xf>
    <xf borderId="0" fillId="0" fontId="7" numFmtId="165" xfId="0" applyAlignment="1" applyFont="1" applyNumberFormat="1">
      <alignment horizontal="center" readingOrder="0"/>
    </xf>
    <xf borderId="0" fillId="0" fontId="8" numFmtId="164" xfId="0" applyAlignment="1" applyFont="1" applyNumberFormat="1">
      <alignment horizontal="center" readingOrder="0"/>
    </xf>
    <xf borderId="0" fillId="0" fontId="7" numFmtId="164" xfId="0" applyAlignment="1" applyFont="1" applyNumberFormat="1">
      <alignment horizontal="center" readingOrder="0"/>
    </xf>
    <xf borderId="0" fillId="0" fontId="7" numFmtId="165" xfId="0" applyAlignment="1" applyFont="1" applyNumberFormat="1">
      <alignment horizontal="center" shrinkToFit="0" vertical="bottom" wrapText="0"/>
    </xf>
    <xf borderId="0" fillId="0" fontId="7" numFmtId="164" xfId="0" applyAlignment="1" applyFont="1" applyNumberFormat="1">
      <alignment vertical="bottom"/>
    </xf>
    <xf borderId="0" fillId="0" fontId="7" numFmtId="0" xfId="0" applyAlignment="1" applyFont="1">
      <alignment horizontal="center" shrinkToFit="0" vertical="bottom" wrapText="0"/>
    </xf>
    <xf borderId="0" fillId="0" fontId="7" numFmtId="1" xfId="0" applyAlignment="1" applyFont="1" applyNumberFormat="1">
      <alignment shrinkToFit="0" vertical="bottom" wrapText="0"/>
    </xf>
    <xf borderId="0" fillId="0" fontId="7" numFmtId="0" xfId="0" applyAlignment="1" applyFont="1">
      <alignment shrinkToFit="0" vertical="bottom" wrapText="0"/>
    </xf>
    <xf borderId="0" fillId="0" fontId="3" numFmtId="0" xfId="0" applyAlignment="1" applyFont="1">
      <alignment horizontal="center"/>
    </xf>
    <xf borderId="0" fillId="0" fontId="3" numFmtId="164" xfId="0" applyFont="1" applyNumberFormat="1"/>
    <xf borderId="0" fillId="0" fontId="3" numFmtId="10" xfId="0" applyFont="1" applyNumberFormat="1"/>
    <xf borderId="0" fillId="0" fontId="3" numFmtId="165" xfId="0" applyFont="1" applyNumberFormat="1"/>
    <xf borderId="0" fillId="5" fontId="3" numFmtId="0" xfId="0" applyFont="1"/>
    <xf borderId="3" fillId="0" fontId="9" numFmtId="0" xfId="0" applyAlignment="1" applyBorder="1" applyFont="1">
      <alignment readingOrder="0"/>
    </xf>
    <xf borderId="3" fillId="0" fontId="3" numFmtId="0" xfId="0" applyBorder="1" applyFont="1"/>
    <xf borderId="0" fillId="3" fontId="3" numFmtId="0" xfId="0" applyFont="1"/>
    <xf borderId="0" fillId="3" fontId="10" numFmtId="0" xfId="0" applyAlignment="1" applyFont="1">
      <alignment horizontal="center" vertical="center"/>
    </xf>
    <xf borderId="0" fillId="3" fontId="11" numFmtId="166" xfId="0" applyAlignment="1" applyFont="1" applyNumberFormat="1">
      <alignment horizontal="center"/>
    </xf>
    <xf borderId="0" fillId="3" fontId="12" numFmtId="0" xfId="0" applyFont="1"/>
    <xf borderId="0" fillId="3" fontId="13" numFmtId="0" xfId="0" applyAlignment="1" applyFont="1">
      <alignment horizontal="center" readingOrder="0"/>
    </xf>
    <xf borderId="0" fillId="3" fontId="3" numFmtId="0" xfId="0" applyAlignment="1" applyFont="1">
      <alignment vertical="top"/>
    </xf>
  </cellXfs>
  <cellStyles count="1">
    <cellStyle xfId="0" name="Normal" builtinId="0"/>
  </cellStyles>
  <dxfs count="3">
    <dxf>
      <font/>
      <fill>
        <patternFill patternType="none"/>
      </fill>
      <border/>
    </dxf>
    <dxf>
      <font/>
      <fill>
        <patternFill patternType="solid">
          <fgColor theme="6"/>
          <bgColor theme="6"/>
        </patternFill>
      </fill>
      <border/>
    </dxf>
    <dxf>
      <font/>
      <fill>
        <patternFill patternType="solid">
          <fgColor theme="0"/>
          <bgColor theme="0"/>
        </patternFill>
      </fill>
      <border/>
    </dxf>
  </dxfs>
  <tableStyles count="1">
    <tableStyle count="3" pivot="0" name="B̳ases-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percentStacked"/>
        <c:ser>
          <c:idx val="0"/>
          <c:order val="0"/>
          <c:tx>
            <c:v>receitas recorrentes</c:v>
          </c:tx>
          <c:spPr>
            <a:solidFill>
              <a:srgbClr val="22C55E"/>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'Tabela dinâmica 1'!$A$3:$A$4</c:f>
            </c:strRef>
          </c:cat>
          <c:val>
            <c:numRef>
              <c:f>'Tabela dinâmica 1'!$B$3:$B$4</c:f>
              <c:numCache/>
            </c:numRef>
          </c:val>
        </c:ser>
        <c:ser>
          <c:idx val="1"/>
          <c:order val="1"/>
          <c:tx>
            <c:v>vendas avulsas</c:v>
          </c:tx>
          <c:spPr>
            <a:solidFill>
              <a:srgbClr val="2AE6B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'Tabela dinâmica 1'!$A$3:$A$4</c:f>
            </c:strRef>
          </c:cat>
          <c:val>
            <c:numRef>
              <c:f>'Tabela dinâmica 1'!$C$3:$C$4</c:f>
              <c:numCache/>
            </c:numRef>
          </c:val>
        </c:ser>
        <c:overlap val="100"/>
        <c:axId val="1192916168"/>
        <c:axId val="1908015988"/>
      </c:barChart>
      <c:catAx>
        <c:axId val="119291616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08015988"/>
      </c:catAx>
      <c:valAx>
        <c:axId val="190801598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2916168"/>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v>sem renovação automática</c:v>
          </c:tx>
          <c:spPr>
            <a:solidFill>
              <a:srgbClr val="22C55E"/>
            </a:solidFill>
            <a:ln cmpd="sng">
              <a:solidFill>
                <a:srgbClr val="000000"/>
              </a:solidFill>
            </a:ln>
          </c:spPr>
          <c:dLbls>
            <c:numFmt formatCode="General" sourceLinked="1"/>
            <c:txPr>
              <a:bodyPr/>
              <a:lstStyle/>
              <a:p>
                <a:pPr lvl="0">
                  <a:defRPr sz="1000"/>
                </a:pPr>
              </a:p>
            </c:txPr>
            <c:showLegendKey val="0"/>
            <c:showVal val="1"/>
            <c:showCatName val="0"/>
            <c:showSerName val="0"/>
            <c:showPercent val="0"/>
            <c:showBubbleSize val="0"/>
          </c:dLbls>
          <c:cat>
            <c:strRef>
              <c:f>'Tabela dinâmica 1'!$E$3:$E$5</c:f>
            </c:strRef>
          </c:cat>
          <c:val>
            <c:numRef>
              <c:f>'Tabela dinâmica 1'!$F$3:$F$5</c:f>
              <c:numCache/>
            </c:numRef>
          </c:val>
        </c:ser>
        <c:ser>
          <c:idx val="1"/>
          <c:order val="1"/>
          <c:tx>
            <c:v>com renovação automática</c:v>
          </c:tx>
          <c:spPr>
            <a:solidFill>
              <a:srgbClr val="2AE6B1"/>
            </a:solidFill>
            <a:ln cmpd="sng">
              <a:solidFill>
                <a:srgbClr val="000000"/>
              </a:solidFill>
            </a:ln>
          </c:spPr>
          <c:dLbls>
            <c:numFmt formatCode="General" sourceLinked="1"/>
            <c:txPr>
              <a:bodyPr/>
              <a:lstStyle/>
              <a:p>
                <a:pPr lvl="0">
                  <a:defRPr sz="1000"/>
                </a:pPr>
              </a:p>
            </c:txPr>
            <c:showLegendKey val="0"/>
            <c:showVal val="1"/>
            <c:showCatName val="0"/>
            <c:showSerName val="0"/>
            <c:showPercent val="0"/>
            <c:showBubbleSize val="0"/>
          </c:dLbls>
          <c:cat>
            <c:strRef>
              <c:f>'Tabela dinâmica 1'!$E$3:$E$5</c:f>
            </c:strRef>
          </c:cat>
          <c:val>
            <c:numRef>
              <c:f>'Tabela dinâmica 1'!$G$3:$G$5</c:f>
              <c:numCache/>
            </c:numRef>
          </c:val>
        </c:ser>
        <c:axId val="403575889"/>
        <c:axId val="212279993"/>
      </c:barChart>
      <c:catAx>
        <c:axId val="40357588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2279993"/>
      </c:catAx>
      <c:valAx>
        <c:axId val="21227999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3575889"/>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'Tabela dinâmica 1'!$B$31</c:f>
            </c:strRef>
          </c:tx>
          <c:spPr>
            <a:solidFill>
              <a:srgbClr val="2AE6B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'Tabela dinâmica 1'!$A$32:$A$33</c:f>
            </c:strRef>
          </c:cat>
          <c:val>
            <c:numRef>
              <c:f>'Tabela dinâmica 1'!$B$32:$B$33</c:f>
              <c:numCache/>
            </c:numRef>
          </c:val>
        </c:ser>
        <c:ser>
          <c:idx val="1"/>
          <c:order val="1"/>
          <c:tx>
            <c:strRef>
              <c:f>'Tabela dinâmica 1'!$C$31</c:f>
            </c:strRef>
          </c:tx>
          <c:spPr>
            <a:solidFill>
              <a:srgbClr val="22C55E"/>
            </a:solidFill>
            <a:ln cmpd="sng">
              <a:solidFill>
                <a:srgbClr val="000000"/>
              </a:solidFill>
            </a:ln>
          </c:spPr>
          <c:dPt>
            <c:idx val="0"/>
          </c:dPt>
          <c:dPt>
            <c:idx val="1"/>
          </c:dPt>
          <c:dLbls>
            <c:dLbl>
              <c:idx val="0"/>
              <c:layout>
                <c:manualLayout>
                  <c:xMode val="edge"/>
                  <c:yMode val="edge"/>
                  <c:x val="0.2831450637357439"/>
                  <c:y val="0.022962627184972776"/>
                </c:manualLayout>
              </c:layout>
              <c:numFmt formatCode="General" sourceLinked="1"/>
              <c:txPr>
                <a:bodyPr/>
                <a:lstStyle/>
                <a:p>
                  <a:pPr lvl="0">
                    <a:defRPr/>
                  </a:pPr>
                </a:p>
              </c:txPr>
              <c:showLegendKey val="0"/>
              <c:showVal val="1"/>
              <c:showCatName val="0"/>
              <c:showSerName val="0"/>
              <c:showPercent val="0"/>
              <c:showBubbleSize val="0"/>
            </c:dLbl>
            <c:dLbl>
              <c:idx val="1"/>
              <c:layout>
                <c:manualLayout>
                  <c:xMode val="edge"/>
                  <c:yMode val="edge"/>
                  <c:x val="0.7187265794911047"/>
                  <c:y val="0.8937707083224627"/>
                </c:manualLayout>
              </c:layout>
              <c:numFmt formatCode="General" sourceLinked="1"/>
              <c:txPr>
                <a:bodyPr/>
                <a:lstStyle/>
                <a:p>
                  <a:pPr lvl="0">
                    <a:defRPr/>
                  </a:pPr>
                </a:p>
              </c:txPr>
              <c:showLegendKey val="0"/>
              <c:showVal val="1"/>
              <c:showCatName val="0"/>
              <c:showSerName val="0"/>
              <c:showPercent val="0"/>
              <c:showBubbleSize val="0"/>
            </c:dLbl>
            <c:numFmt formatCode="General" sourceLinked="1"/>
            <c:txPr>
              <a:bodyPr/>
              <a:lstStyle/>
              <a:p>
                <a:pPr lvl="0">
                  <a:defRPr/>
                </a:pPr>
              </a:p>
            </c:txPr>
            <c:showLegendKey val="0"/>
            <c:showVal val="1"/>
            <c:showCatName val="0"/>
            <c:showSerName val="0"/>
            <c:showPercent val="0"/>
            <c:showBubbleSize val="0"/>
          </c:dLbls>
          <c:cat>
            <c:strRef>
              <c:f>'Tabela dinâmica 1'!$A$32:$A$33</c:f>
            </c:strRef>
          </c:cat>
          <c:val>
            <c:numRef>
              <c:f>'Tabela dinâmica 1'!$C$32:$C$33</c:f>
              <c:numCache/>
            </c:numRef>
          </c:val>
        </c:ser>
        <c:axId val="677882603"/>
        <c:axId val="2076846304"/>
      </c:barChart>
      <c:catAx>
        <c:axId val="6778826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000">
                <a:solidFill>
                  <a:srgbClr val="000000"/>
                </a:solidFill>
                <a:latin typeface="Roboto"/>
              </a:defRPr>
            </a:pPr>
          </a:p>
        </c:txPr>
        <c:crossAx val="2076846304"/>
      </c:catAx>
      <c:valAx>
        <c:axId val="207684630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sz="600">
                <a:solidFill>
                  <a:srgbClr val="FFFFFF"/>
                </a:solidFill>
                <a:latin typeface="Roboto"/>
              </a:defRPr>
            </a:pPr>
          </a:p>
        </c:txPr>
        <c:crossAx val="677882603"/>
      </c:valAx>
    </c:plotArea>
    <c:legend>
      <c:legendPos val="r"/>
      <c:overlay val="0"/>
      <c:txPr>
        <a:bodyPr/>
        <a:lstStyle/>
        <a:p>
          <a:pPr lvl="0">
            <a:defRPr b="0" sz="1000">
              <a:solidFill>
                <a:srgbClr val="1A1A1A"/>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'Tabela dinâmica 1'!$B$73</c:f>
            </c:strRef>
          </c:tx>
          <c:spPr>
            <a:solidFill>
              <a:srgbClr val="2AE6B1"/>
            </a:solidFill>
            <a:ln cmpd="sng">
              <a:solidFill>
                <a:srgbClr val="000000"/>
              </a:solidFill>
            </a:ln>
          </c:spPr>
          <c:dLbls>
            <c:numFmt formatCode="General" sourceLinked="1"/>
            <c:txPr>
              <a:bodyPr/>
              <a:lstStyle/>
              <a:p>
                <a:pPr lvl="0">
                  <a:defRPr sz="1000">
                    <a:latin typeface="Roboto"/>
                  </a:defRPr>
                </a:pPr>
              </a:p>
            </c:txPr>
            <c:showLegendKey val="0"/>
            <c:showVal val="1"/>
            <c:showCatName val="0"/>
            <c:showSerName val="0"/>
            <c:showPercent val="0"/>
            <c:showBubbleSize val="0"/>
          </c:dLbls>
          <c:cat>
            <c:strRef>
              <c:f>'Tabela dinâmica 1'!$A$74:$A$76</c:f>
            </c:strRef>
          </c:cat>
          <c:val>
            <c:numRef>
              <c:f>'Tabela dinâmica 1'!$B$74:$B$76</c:f>
              <c:numCache/>
            </c:numRef>
          </c:val>
        </c:ser>
        <c:axId val="1461767990"/>
        <c:axId val="194034993"/>
      </c:barChart>
      <c:catAx>
        <c:axId val="14617679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Plano</a:t>
                </a:r>
              </a:p>
            </c:rich>
          </c:tx>
          <c:overlay val="0"/>
        </c:title>
        <c:numFmt formatCode="General" sourceLinked="1"/>
        <c:majorTickMark val="none"/>
        <c:minorTickMark val="none"/>
        <c:spPr/>
        <c:txPr>
          <a:bodyPr/>
          <a:lstStyle/>
          <a:p>
            <a:pPr lvl="0">
              <a:defRPr b="0" sz="1000">
                <a:solidFill>
                  <a:srgbClr val="000000"/>
                </a:solidFill>
                <a:latin typeface="Roboto"/>
              </a:defRPr>
            </a:pPr>
          </a:p>
        </c:txPr>
        <c:crossAx val="194034993"/>
      </c:catAx>
      <c:valAx>
        <c:axId val="194034993"/>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600">
                <a:solidFill>
                  <a:srgbClr val="FFFFFF"/>
                </a:solidFill>
                <a:latin typeface="+mn-lt"/>
              </a:defRPr>
            </a:pPr>
          </a:p>
        </c:txPr>
        <c:crossAx val="1461767990"/>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percentStacked"/>
        <c:ser>
          <c:idx val="0"/>
          <c:order val="0"/>
          <c:tx>
            <c:v>receitas recorrentes</c:v>
          </c:tx>
          <c:spPr>
            <a:solidFill>
              <a:srgbClr val="22C55E"/>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'Tabela dinâmica 1'!$A$3:$A$4</c:f>
            </c:strRef>
          </c:cat>
          <c:val>
            <c:numRef>
              <c:f>'Tabela dinâmica 1'!$B$3:$B$4</c:f>
              <c:numCache/>
            </c:numRef>
          </c:val>
        </c:ser>
        <c:ser>
          <c:idx val="1"/>
          <c:order val="1"/>
          <c:tx>
            <c:v>vendas avulsas</c:v>
          </c:tx>
          <c:spPr>
            <a:solidFill>
              <a:srgbClr val="2AE6B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'Tabela dinâmica 1'!$A$3:$A$4</c:f>
            </c:strRef>
          </c:cat>
          <c:val>
            <c:numRef>
              <c:f>'Tabela dinâmica 1'!$C$3:$C$4</c:f>
              <c:numCache/>
            </c:numRef>
          </c:val>
        </c:ser>
        <c:overlap val="100"/>
        <c:axId val="98775945"/>
        <c:axId val="1561042475"/>
      </c:barChart>
      <c:catAx>
        <c:axId val="9877594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000">
                <a:solidFill>
                  <a:srgbClr val="000000"/>
                </a:solidFill>
                <a:latin typeface="Roboto"/>
              </a:defRPr>
            </a:pPr>
          </a:p>
        </c:txPr>
        <c:crossAx val="1561042475"/>
      </c:catAx>
      <c:valAx>
        <c:axId val="1561042475"/>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1000">
                <a:solidFill>
                  <a:srgbClr val="000000"/>
                </a:solidFill>
                <a:latin typeface="Roboto"/>
              </a:defRPr>
            </a:pPr>
          </a:p>
        </c:txPr>
        <c:crossAx val="98775945"/>
        <c:crosses val="max"/>
      </c:valAx>
    </c:plotArea>
    <c:legend>
      <c:legendPos val="r"/>
      <c:overlay val="0"/>
      <c:txPr>
        <a:bodyPr/>
        <a:lstStyle/>
        <a:p>
          <a:pPr lvl="0">
            <a:defRPr b="0" sz="1000">
              <a:solidFill>
                <a:srgbClr val="1A1A1A"/>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v>sem renovação automática</c:v>
          </c:tx>
          <c:spPr>
            <a:solidFill>
              <a:srgbClr val="22C55E"/>
            </a:solidFill>
            <a:ln cmpd="sng">
              <a:solidFill>
                <a:srgbClr val="000000"/>
              </a:solidFill>
            </a:ln>
          </c:spPr>
          <c:dLbls>
            <c:numFmt formatCode="General" sourceLinked="1"/>
            <c:txPr>
              <a:bodyPr/>
              <a:lstStyle/>
              <a:p>
                <a:pPr lvl="0">
                  <a:defRPr sz="1000"/>
                </a:pPr>
              </a:p>
            </c:txPr>
            <c:showLegendKey val="0"/>
            <c:showVal val="1"/>
            <c:showCatName val="0"/>
            <c:showSerName val="0"/>
            <c:showPercent val="0"/>
            <c:showBubbleSize val="0"/>
          </c:dLbls>
          <c:cat>
            <c:strRef>
              <c:f>'Tabela dinâmica 1'!$E$3:$E$5</c:f>
            </c:strRef>
          </c:cat>
          <c:val>
            <c:numRef>
              <c:f>'Tabela dinâmica 1'!$F$3:$F$5</c:f>
              <c:numCache/>
            </c:numRef>
          </c:val>
        </c:ser>
        <c:ser>
          <c:idx val="1"/>
          <c:order val="1"/>
          <c:tx>
            <c:v>com renovação automática</c:v>
          </c:tx>
          <c:spPr>
            <a:solidFill>
              <a:srgbClr val="2AE6B1"/>
            </a:solidFill>
            <a:ln cmpd="sng">
              <a:solidFill>
                <a:srgbClr val="000000"/>
              </a:solidFill>
            </a:ln>
          </c:spPr>
          <c:dLbls>
            <c:numFmt formatCode="General" sourceLinked="1"/>
            <c:txPr>
              <a:bodyPr/>
              <a:lstStyle/>
              <a:p>
                <a:pPr lvl="0">
                  <a:defRPr sz="1000"/>
                </a:pPr>
              </a:p>
            </c:txPr>
            <c:showLegendKey val="0"/>
            <c:showVal val="1"/>
            <c:showCatName val="0"/>
            <c:showSerName val="0"/>
            <c:showPercent val="0"/>
            <c:showBubbleSize val="0"/>
          </c:dLbls>
          <c:cat>
            <c:strRef>
              <c:f>'Tabela dinâmica 1'!$E$3:$E$5</c:f>
            </c:strRef>
          </c:cat>
          <c:val>
            <c:numRef>
              <c:f>'Tabela dinâmica 1'!$G$3:$G$5</c:f>
              <c:numCache/>
            </c:numRef>
          </c:val>
        </c:ser>
        <c:axId val="1385884202"/>
        <c:axId val="1440998643"/>
      </c:barChart>
      <c:catAx>
        <c:axId val="138588420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000">
                <a:solidFill>
                  <a:srgbClr val="000000"/>
                </a:solidFill>
                <a:latin typeface="Roboto"/>
              </a:defRPr>
            </a:pPr>
          </a:p>
        </c:txPr>
        <c:crossAx val="1440998643"/>
      </c:catAx>
      <c:valAx>
        <c:axId val="1440998643"/>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1000">
                <a:solidFill>
                  <a:srgbClr val="000000"/>
                </a:solidFill>
                <a:latin typeface="Roboto"/>
              </a:defRPr>
            </a:pPr>
          </a:p>
        </c:txPr>
        <c:crossAx val="1385884202"/>
        <c:crosses val="max"/>
      </c:valAx>
    </c:plotArea>
    <c:legend>
      <c:legendPos val="r"/>
      <c:overlay val="0"/>
      <c:txPr>
        <a:bodyPr/>
        <a:lstStyle/>
        <a:p>
          <a:pPr lvl="0">
            <a:defRPr b="0" sz="1000">
              <a:solidFill>
                <a:srgbClr val="1A1A1A"/>
              </a:solidFill>
              <a:latin typeface="Roboto"/>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22946859903381644"/>
          <c:y val="0.06282051282051283"/>
          <c:w val="0.7608695652173914"/>
          <c:h val="0.8230769230769232"/>
        </c:manualLayout>
      </c:layout>
      <c:barChart>
        <c:barDir val="col"/>
        <c:ser>
          <c:idx val="0"/>
          <c:order val="0"/>
          <c:tx>
            <c:strRef>
              <c:f>'Tabela dinâmica 1'!$B$31</c:f>
            </c:strRef>
          </c:tx>
          <c:spPr>
            <a:solidFill>
              <a:srgbClr val="2AE6B1"/>
            </a:solidFill>
            <a:ln cmpd="sng">
              <a:solidFill>
                <a:srgbClr val="000000"/>
              </a:solidFill>
            </a:ln>
          </c:spPr>
          <c:dPt>
            <c:idx val="0"/>
          </c:dPt>
          <c:dPt>
            <c:idx val="1"/>
          </c:dPt>
          <c:dLbls>
            <c:dLbl>
              <c:idx val="0"/>
              <c:layout>
                <c:manualLayout>
                  <c:xMode val="edge"/>
                  <c:yMode val="edge"/>
                  <c:x val="0.11573657545065877"/>
                  <c:y val="0.9300827207476798"/>
                </c:manualLayout>
              </c:layout>
              <c:numFmt formatCode="General" sourceLinked="1"/>
              <c:txPr>
                <a:bodyPr/>
                <a:lstStyle/>
                <a:p>
                  <a:pPr lvl="0">
                    <a:defRPr sz="1000"/>
                  </a:pPr>
                </a:p>
              </c:txPr>
              <c:showLegendKey val="0"/>
              <c:showVal val="1"/>
              <c:showCatName val="0"/>
              <c:showSerName val="0"/>
              <c:showPercent val="0"/>
              <c:showBubbleSize val="0"/>
            </c:dLbl>
            <c:dLbl>
              <c:idx val="1"/>
              <c:layout>
                <c:manualLayout>
                  <c:xMode val="edge"/>
                  <c:yMode val="edge"/>
                  <c:x val="0.5517236051917388"/>
                  <c:y val="0.9552832892416225"/>
                </c:manualLayout>
              </c:layout>
              <c:numFmt formatCode="General" sourceLinked="1"/>
              <c:txPr>
                <a:bodyPr/>
                <a:lstStyle/>
                <a:p>
                  <a:pPr lvl="0">
                    <a:defRPr sz="1000"/>
                  </a:pPr>
                </a:p>
              </c:txPr>
              <c:showLegendKey val="0"/>
              <c:showVal val="1"/>
              <c:showCatName val="0"/>
              <c:showSerName val="0"/>
              <c:showPercent val="0"/>
              <c:showBubbleSize val="0"/>
            </c:dLbl>
            <c:numFmt formatCode="General" sourceLinked="1"/>
            <c:txPr>
              <a:bodyPr/>
              <a:lstStyle/>
              <a:p>
                <a:pPr lvl="0">
                  <a:defRPr sz="1000"/>
                </a:pPr>
              </a:p>
            </c:txPr>
            <c:showLegendKey val="0"/>
            <c:showVal val="1"/>
            <c:showCatName val="0"/>
            <c:showSerName val="0"/>
            <c:showPercent val="0"/>
            <c:showBubbleSize val="0"/>
          </c:dLbls>
          <c:cat>
            <c:strRef>
              <c:f>'Tabela dinâmica 1'!$A$32:$A$33</c:f>
            </c:strRef>
          </c:cat>
          <c:val>
            <c:numRef>
              <c:f>'Tabela dinâmica 1'!$B$32:$B$33</c:f>
              <c:numCache/>
            </c:numRef>
          </c:val>
        </c:ser>
        <c:ser>
          <c:idx val="1"/>
          <c:order val="1"/>
          <c:tx>
            <c:strRef>
              <c:f>'Tabela dinâmica 1'!$C$31</c:f>
            </c:strRef>
          </c:tx>
          <c:spPr>
            <a:solidFill>
              <a:srgbClr val="22C55E"/>
            </a:solidFill>
            <a:ln cmpd="sng">
              <a:solidFill>
                <a:srgbClr val="000000"/>
              </a:solidFill>
            </a:ln>
          </c:spPr>
          <c:dPt>
            <c:idx val="0"/>
          </c:dPt>
          <c:dPt>
            <c:idx val="1"/>
          </c:dPt>
          <c:dLbls>
            <c:dLbl>
              <c:idx val="0"/>
              <c:layout>
                <c:manualLayout>
                  <c:xMode val="edge"/>
                  <c:yMode val="edge"/>
                  <c:x val="0.23049235616257177"/>
                  <c:y val="0.007697749262390999"/>
                </c:manualLayout>
              </c:layout>
              <c:numFmt formatCode="General" sourceLinked="1"/>
              <c:txPr>
                <a:bodyPr/>
                <a:lstStyle/>
                <a:p>
                  <a:pPr lvl="0">
                    <a:defRPr sz="1000"/>
                  </a:pPr>
                </a:p>
              </c:txPr>
              <c:showLegendKey val="0"/>
              <c:showVal val="1"/>
              <c:showCatName val="0"/>
              <c:showSerName val="0"/>
              <c:showPercent val="0"/>
              <c:showBubbleSize val="0"/>
            </c:dLbl>
            <c:dLbl>
              <c:idx val="1"/>
              <c:layout>
                <c:manualLayout>
                  <c:xMode val="edge"/>
                  <c:yMode val="edge"/>
                  <c:x val="0.6709124713557795"/>
                  <c:y val="0.901987433862434"/>
                </c:manualLayout>
              </c:layout>
              <c:numFmt formatCode="General" sourceLinked="1"/>
              <c:txPr>
                <a:bodyPr/>
                <a:lstStyle/>
                <a:p>
                  <a:pPr lvl="0">
                    <a:defRPr sz="1000"/>
                  </a:pPr>
                </a:p>
              </c:txPr>
              <c:showLegendKey val="0"/>
              <c:showVal val="1"/>
              <c:showCatName val="0"/>
              <c:showSerName val="0"/>
              <c:showPercent val="0"/>
              <c:showBubbleSize val="0"/>
            </c:dLbl>
            <c:numFmt formatCode="General" sourceLinked="1"/>
            <c:txPr>
              <a:bodyPr/>
              <a:lstStyle/>
              <a:p>
                <a:pPr lvl="0">
                  <a:defRPr sz="1000"/>
                </a:pPr>
              </a:p>
            </c:txPr>
            <c:showLegendKey val="0"/>
            <c:showVal val="1"/>
            <c:showCatName val="0"/>
            <c:showSerName val="0"/>
            <c:showPercent val="0"/>
            <c:showBubbleSize val="0"/>
          </c:dLbls>
          <c:cat>
            <c:strRef>
              <c:f>'Tabela dinâmica 1'!$A$32:$A$33</c:f>
            </c:strRef>
          </c:cat>
          <c:val>
            <c:numRef>
              <c:f>'Tabela dinâmica 1'!$C$32:$C$33</c:f>
              <c:numCache/>
            </c:numRef>
          </c:val>
        </c:ser>
        <c:axId val="674425466"/>
        <c:axId val="918007083"/>
      </c:barChart>
      <c:catAx>
        <c:axId val="6744254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000">
                <a:solidFill>
                  <a:srgbClr val="000000"/>
                </a:solidFill>
                <a:latin typeface="Roboto"/>
              </a:defRPr>
            </a:pPr>
          </a:p>
        </c:txPr>
        <c:crossAx val="918007083"/>
      </c:catAx>
      <c:valAx>
        <c:axId val="918007083"/>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sz="600">
                <a:solidFill>
                  <a:srgbClr val="FFFFFF"/>
                </a:solidFill>
                <a:latin typeface="Roboto"/>
              </a:defRPr>
            </a:pPr>
          </a:p>
        </c:txPr>
        <c:crossAx val="674425466"/>
      </c:valAx>
    </c:plotArea>
    <c:legend>
      <c:legendPos val="r"/>
      <c:overlay val="0"/>
      <c:txPr>
        <a:bodyPr/>
        <a:lstStyle/>
        <a:p>
          <a:pPr lvl="0">
            <a:defRPr b="0" sz="1000">
              <a:solidFill>
                <a:srgbClr val="1A1A1A"/>
              </a:solidFill>
              <a:latin typeface="Roboto"/>
            </a:defRPr>
          </a:pPr>
        </a:p>
      </c:txPr>
    </c:legend>
    <c:plotVisOnly val="1"/>
  </c:chart>
  <c:spPr>
    <a:solidFill>
      <a:srgbClr val="F3F3F3"/>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
          <c:y val="0.061975462999140384"/>
          <c:w val="0.9405487804878049"/>
          <c:h val="0.785849866628065"/>
        </c:manualLayout>
      </c:layout>
      <c:doughnutChart>
        <c:varyColors val="1"/>
        <c:ser>
          <c:idx val="0"/>
          <c:order val="0"/>
          <c:tx>
            <c:strRef>
              <c:f>'Tabela dinâmica 1'!$B$73</c:f>
            </c:strRef>
          </c:tx>
          <c:dPt>
            <c:idx val="0"/>
            <c:explosion val="0"/>
            <c:spPr>
              <a:solidFill>
                <a:srgbClr val="2AE6B1"/>
              </a:solidFill>
            </c:spPr>
          </c:dPt>
          <c:dPt>
            <c:idx val="1"/>
            <c:spPr>
              <a:solidFill>
                <a:srgbClr val="22C55E"/>
              </a:solidFill>
            </c:spPr>
          </c:dPt>
          <c:dPt>
            <c:idx val="2"/>
            <c:spPr>
              <a:solidFill>
                <a:srgbClr val="5BF6A8"/>
              </a:solidFill>
            </c:spPr>
          </c:dPt>
          <c:dLbls>
            <c:showLegendKey val="0"/>
            <c:showVal val="0"/>
            <c:showCatName val="1"/>
            <c:showSerName val="0"/>
            <c:showPercent val="0"/>
            <c:showBubbleSize val="0"/>
            <c:showLeaderLines val="1"/>
          </c:dLbls>
          <c:cat>
            <c:strRef>
              <c:f>'Tabela dinâmica 1'!$A$74:$A$76</c:f>
            </c:strRef>
          </c:cat>
          <c:val>
            <c:numRef>
              <c:f>'Tabela dinâmica 1'!$B$74:$B$76</c:f>
              <c:numCache/>
            </c:numRef>
          </c:val>
        </c:ser>
        <c:dLbls>
          <c:showLegendKey val="0"/>
          <c:showVal val="0"/>
          <c:showCatName val="0"/>
          <c:showSerName val="0"/>
          <c:showPercent val="0"/>
          <c:showBubbleSize val="0"/>
        </c:dLbls>
        <c:holeSize val="25"/>
      </c:doughnutChart>
    </c:plotArea>
    <c:legend>
      <c:legendPos val="b"/>
      <c:overlay val="0"/>
      <c:txPr>
        <a:bodyPr/>
        <a:lstStyle/>
        <a:p>
          <a:pPr lvl="0">
            <a:defRPr b="0" sz="1000">
              <a:solidFill>
                <a:schemeClr val="lt1"/>
              </a:solidFill>
              <a:latin typeface="Roboto"/>
            </a:defRPr>
          </a:pPr>
        </a:p>
      </c:txPr>
    </c:legend>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3.png"/><Relationship Id="rId5" Type="http://schemas.openxmlformats.org/officeDocument/2006/relationships/image" Target="../media/image4.png"/><Relationship Id="rId6" Type="http://schemas.openxmlformats.org/officeDocument/2006/relationships/image" Target="../media/image2.png"/><Relationship Id="rId7"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66675</xdr:colOff>
      <xdr:row>12</xdr:row>
      <xdr:rowOff>123825</xdr:rowOff>
    </xdr:from>
    <xdr:ext cx="742950" cy="733425"/>
    <xdr:sp>
      <xdr:nvSpPr>
        <xdr:cNvPr id="4" name="Shape 4"/>
        <xdr:cNvSpPr/>
      </xdr:nvSpPr>
      <xdr:spPr>
        <a:xfrm>
          <a:off x="4974525" y="3418050"/>
          <a:ext cx="742950" cy="723900"/>
        </a:xfrm>
        <a:prstGeom prst="ellipse">
          <a:avLst/>
        </a:prstGeom>
        <a:blipFill rotWithShape="1">
          <a:blip r:embed="rId1">
            <a:alphaModFix/>
          </a:blip>
          <a:stretch>
            <a:fillRect b="0" l="0" r="0" t="0"/>
          </a:stretch>
        </a:blip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276225</xdr:colOff>
      <xdr:row>12</xdr:row>
      <xdr:rowOff>133350</xdr:rowOff>
    </xdr:from>
    <xdr:ext cx="742950" cy="733425"/>
    <xdr:sp>
      <xdr:nvSpPr>
        <xdr:cNvPr id="4" name="Shape 4"/>
        <xdr:cNvSpPr/>
      </xdr:nvSpPr>
      <xdr:spPr>
        <a:xfrm>
          <a:off x="4974525" y="3418050"/>
          <a:ext cx="742950" cy="723900"/>
        </a:xfrm>
        <a:prstGeom prst="ellipse">
          <a:avLst/>
        </a:prstGeom>
        <a:blipFill rotWithShape="1">
          <a:blip r:embed="rId1">
            <a:alphaModFix/>
          </a:blip>
          <a:stretch>
            <a:fillRect b="0" l="0" r="0" t="0"/>
          </a:stretch>
        </a:blip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447675</xdr:colOff>
      <xdr:row>27</xdr:row>
      <xdr:rowOff>104775</xdr:rowOff>
    </xdr:from>
    <xdr:ext cx="1695450" cy="800100"/>
    <xdr:grpSp>
      <xdr:nvGrpSpPr>
        <xdr:cNvPr id="2" name="Shape 2"/>
        <xdr:cNvGrpSpPr/>
      </xdr:nvGrpSpPr>
      <xdr:grpSpPr>
        <a:xfrm>
          <a:off x="4498275" y="3379950"/>
          <a:ext cx="1695450" cy="800100"/>
          <a:chOff x="4498275" y="3379950"/>
          <a:chExt cx="1695450" cy="800100"/>
        </a:xfrm>
      </xdr:grpSpPr>
      <xdr:grpSp>
        <xdr:nvGrpSpPr>
          <xdr:cNvPr id="5" name="Shape 5"/>
          <xdr:cNvGrpSpPr/>
        </xdr:nvGrpSpPr>
        <xdr:grpSpPr>
          <a:xfrm>
            <a:off x="4498275" y="3379950"/>
            <a:ext cx="1695450" cy="800100"/>
            <a:chOff x="3495675" y="5400674"/>
            <a:chExt cx="1549476" cy="752476"/>
          </a:xfrm>
        </xdr:grpSpPr>
        <xdr:sp>
          <xdr:nvSpPr>
            <xdr:cNvPr id="6" name="Shape 6"/>
            <xdr:cNvSpPr/>
          </xdr:nvSpPr>
          <xdr:spPr>
            <a:xfrm>
              <a:off x="3495675" y="5400674"/>
              <a:ext cx="15494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7" name="Shape 7"/>
            <xdr:cNvPicPr preferRelativeResize="0"/>
          </xdr:nvPicPr>
          <xdr:blipFill rotWithShape="1">
            <a:blip r:embed="rId2">
              <a:alphaModFix/>
            </a:blip>
            <a:srcRect b="0" l="0" r="0" t="0"/>
            <a:stretch/>
          </xdr:blipFill>
          <xdr:spPr>
            <a:xfrm>
              <a:off x="3998608" y="5400674"/>
              <a:ext cx="555497" cy="609599"/>
            </a:xfrm>
            <a:prstGeom prst="rect">
              <a:avLst/>
            </a:prstGeom>
            <a:noFill/>
            <a:ln>
              <a:noFill/>
            </a:ln>
          </xdr:spPr>
        </xdr:pic>
        <xdr:pic>
          <xdr:nvPicPr>
            <xdr:cNvPr id="8" name="Shape 8"/>
            <xdr:cNvPicPr preferRelativeResize="0"/>
          </xdr:nvPicPr>
          <xdr:blipFill rotWithShape="1">
            <a:blip r:embed="rId3">
              <a:alphaModFix/>
            </a:blip>
            <a:srcRect b="0" l="0" r="0" t="0"/>
            <a:stretch/>
          </xdr:blipFill>
          <xdr:spPr>
            <a:xfrm>
              <a:off x="3495675" y="5895937"/>
              <a:ext cx="1549476" cy="257213"/>
            </a:xfrm>
            <a:prstGeom prst="rect">
              <a:avLst/>
            </a:prstGeom>
            <a:noFill/>
            <a:ln>
              <a:noFill/>
            </a:ln>
          </xdr:spPr>
        </xdr:pic>
      </xdr:grpSp>
    </xdr:grpSp>
    <xdr:clientData fLocksWithSheet="0"/>
  </xdr:oneCellAnchor>
  <xdr:oneCellAnchor>
    <xdr:from>
      <xdr:col>1</xdr:col>
      <xdr:colOff>209550</xdr:colOff>
      <xdr:row>12</xdr:row>
      <xdr:rowOff>133350</xdr:rowOff>
    </xdr:from>
    <xdr:ext cx="1590675" cy="48577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561975</xdr:colOff>
      <xdr:row>15</xdr:row>
      <xdr:rowOff>47625</xdr:rowOff>
    </xdr:from>
    <xdr:ext cx="3124200" cy="1066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581025</xdr:colOff>
      <xdr:row>13</xdr:row>
      <xdr:rowOff>19050</xdr:rowOff>
    </xdr:from>
    <xdr:ext cx="285750" cy="247650"/>
    <xdr:pic>
      <xdr:nvPicPr>
        <xdr:cNvPr descr="Lupa com preenchimento sólido"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57150</xdr:colOff>
      <xdr:row>21</xdr:row>
      <xdr:rowOff>180975</xdr:rowOff>
    </xdr:from>
    <xdr:ext cx="1314450" cy="128587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5</xdr:row>
      <xdr:rowOff>0</xdr:rowOff>
    </xdr:from>
    <xdr:ext cx="304800" cy="933450"/>
    <xdr:sp>
      <xdr:nvSpPr>
        <xdr:cNvPr descr="Nintendo Switch Online bate marca de 36 milhões de assinantes - Nintendo  Blast" id="9" name="Shape 9"/>
        <xdr:cNvSpPr/>
      </xdr:nvSpPr>
      <xdr:spPr>
        <a:xfrm>
          <a:off x="5193600" y="3318038"/>
          <a:ext cx="304800" cy="923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5</xdr:row>
      <xdr:rowOff>0</xdr:rowOff>
    </xdr:from>
    <xdr:ext cx="304800" cy="933450"/>
    <xdr:sp>
      <xdr:nvSpPr>
        <xdr:cNvPr descr="Nintendo Switch Online bate marca de 36 milhões de assinantes - Nintendo  Blast" id="9" name="Shape 9"/>
        <xdr:cNvSpPr/>
      </xdr:nvSpPr>
      <xdr:spPr>
        <a:xfrm>
          <a:off x="5193600" y="3318038"/>
          <a:ext cx="304800" cy="923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1057275</xdr:colOff>
      <xdr:row>9</xdr:row>
      <xdr:rowOff>180975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133350</xdr:colOff>
      <xdr:row>9</xdr:row>
      <xdr:rowOff>142875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647700</xdr:colOff>
      <xdr:row>28</xdr:row>
      <xdr:rowOff>85725</xdr:rowOff>
    </xdr:from>
    <xdr:ext cx="5715000" cy="353377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523875</xdr:colOff>
      <xdr:row>87</xdr:row>
      <xdr:rowOff>161925</xdr:rowOff>
    </xdr:from>
    <xdr:ext cx="5715000" cy="3533775"/>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6</xdr:row>
      <xdr:rowOff>171450</xdr:rowOff>
    </xdr:from>
    <xdr:ext cx="2857500" cy="2857500"/>
    <mc:AlternateContent>
      <mc:Choice Requires="sle15">
        <xdr:graphicFrame>
          <xdr:nvGraphicFramePr>
            <xdr:cNvPr id="1" name="Column1_1"/>
            <xdr:cNvGraphicFramePr/>
          </xdr:nvGraphicFramePr>
          <xdr:xfrm>
            <a:off x="0" y="0"/>
            <a:ext cx="0" cy="0"/>
          </xdr:xfrm>
          <a:graphic>
            <a:graphicData uri="http://schemas.microsoft.com/office/drawing/2010/slicer">
              <x3Unk:slicer name="Column1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247650</xdr:colOff>
      <xdr:row>35</xdr:row>
      <xdr:rowOff>190500</xdr:rowOff>
    </xdr:from>
    <xdr:ext cx="4286250" cy="264795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504825</xdr:colOff>
      <xdr:row>36</xdr:row>
      <xdr:rowOff>9525</xdr:rowOff>
    </xdr:from>
    <xdr:ext cx="4286250" cy="2628900"/>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190500</xdr:colOff>
      <xdr:row>16</xdr:row>
      <xdr:rowOff>180975</xdr:rowOff>
    </xdr:from>
    <xdr:ext cx="3781425" cy="1943100"/>
    <xdr:graphicFrame>
      <xdr:nvGraphicFramePr>
        <xdr:cNvPr id="7" name="Chart 7"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504825</xdr:colOff>
      <xdr:row>12</xdr:row>
      <xdr:rowOff>95250</xdr:rowOff>
    </xdr:from>
    <xdr:ext cx="4286250" cy="2924175"/>
    <xdr:graphicFrame>
      <xdr:nvGraphicFramePr>
        <xdr:cNvPr id="8" name="Chart 8"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152400</xdr:colOff>
      <xdr:row>31</xdr:row>
      <xdr:rowOff>28575</xdr:rowOff>
    </xdr:from>
    <xdr:ext cx="2857500" cy="2857500"/>
    <mc:AlternateContent>
      <mc:Choice Requires="sle15">
        <xdr:graphicFrame>
          <xdr:nvGraphicFramePr>
            <xdr:cNvPr id="2" name="Column1_2"/>
            <xdr:cNvGraphicFramePr/>
          </xdr:nvGraphicFramePr>
          <xdr:xfrm>
            <a:off x="0" y="0"/>
            <a:ext cx="0" cy="0"/>
          </xdr:xfrm>
          <a:graphic>
            <a:graphicData uri="http://schemas.microsoft.com/office/drawing/2010/slicer">
              <x3Unk:slicer name="Column1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190500</xdr:colOff>
      <xdr:row>33</xdr:row>
      <xdr:rowOff>180975</xdr:rowOff>
    </xdr:from>
    <xdr:ext cx="4410075" cy="3124200"/>
    <xdr:sp>
      <xdr:nvSpPr>
        <xdr:cNvPr id="11" name="Shape 11"/>
        <xdr:cNvSpPr/>
      </xdr:nvSpPr>
      <xdr:spPr>
        <a:xfrm>
          <a:off x="686200" y="862700"/>
          <a:ext cx="4391700" cy="2793900"/>
        </a:xfrm>
        <a:prstGeom prst="rect">
          <a:avLst/>
        </a:prstGeom>
        <a:solidFill>
          <a:srgbClr val="2AE6B1"/>
        </a:solidFill>
        <a:ln cap="flat" cmpd="sng" w="9525">
          <a:solidFill>
            <a:srgbClr val="2AE6B1"/>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9</xdr:col>
      <xdr:colOff>447675</xdr:colOff>
      <xdr:row>33</xdr:row>
      <xdr:rowOff>180975</xdr:rowOff>
    </xdr:from>
    <xdr:ext cx="4410075" cy="3124200"/>
    <xdr:sp>
      <xdr:nvSpPr>
        <xdr:cNvPr id="12" name="Shape 12"/>
        <xdr:cNvSpPr/>
      </xdr:nvSpPr>
      <xdr:spPr>
        <a:xfrm>
          <a:off x="686200" y="862700"/>
          <a:ext cx="4391700" cy="2793900"/>
        </a:xfrm>
        <a:prstGeom prst="rect">
          <a:avLst/>
        </a:prstGeom>
        <a:solidFill>
          <a:srgbClr val="2AE6B1"/>
        </a:solidFill>
        <a:ln cap="flat" cmpd="sng" w="9525">
          <a:solidFill>
            <a:srgbClr val="2AE6B1"/>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9</xdr:col>
      <xdr:colOff>447675</xdr:colOff>
      <xdr:row>33</xdr:row>
      <xdr:rowOff>104775</xdr:rowOff>
    </xdr:from>
    <xdr:ext cx="4410075" cy="504825"/>
    <xdr:sp>
      <xdr:nvSpPr>
        <xdr:cNvPr id="13" name="Shape 13"/>
        <xdr:cNvSpPr/>
      </xdr:nvSpPr>
      <xdr:spPr>
        <a:xfrm>
          <a:off x="0" y="225525"/>
          <a:ext cx="4705200" cy="490200"/>
        </a:xfrm>
        <a:prstGeom prst="round2SameRect">
          <a:avLst>
            <a:gd fmla="val 16667" name="adj1"/>
            <a:gd fmla="val 0" name="adj2"/>
          </a:avLst>
        </a:prstGeom>
        <a:solidFill>
          <a:srgbClr val="2AE6B1"/>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200">
              <a:solidFill>
                <a:srgbClr val="FFFFFF"/>
              </a:solidFill>
              <a:latin typeface="Roboto"/>
              <a:ea typeface="Roboto"/>
              <a:cs typeface="Roboto"/>
              <a:sym typeface="Roboto"/>
            </a:rPr>
            <a:t>LIFETIME VALUE (LTV)</a:t>
          </a:r>
          <a:endParaRPr b="1" sz="1200">
            <a:solidFill>
              <a:srgbClr val="FFFFFF"/>
            </a:solidFill>
            <a:latin typeface="Roboto"/>
            <a:ea typeface="Roboto"/>
            <a:cs typeface="Roboto"/>
            <a:sym typeface="Roboto"/>
          </a:endParaRPr>
        </a:p>
      </xdr:txBody>
    </xdr:sp>
    <xdr:clientData fLocksWithSheet="0"/>
  </xdr:oneCellAnchor>
  <xdr:oneCellAnchor>
    <xdr:from>
      <xdr:col>2</xdr:col>
      <xdr:colOff>190500</xdr:colOff>
      <xdr:row>33</xdr:row>
      <xdr:rowOff>104775</xdr:rowOff>
    </xdr:from>
    <xdr:ext cx="4410075" cy="504825"/>
    <xdr:sp>
      <xdr:nvSpPr>
        <xdr:cNvPr id="14" name="Shape 14"/>
        <xdr:cNvSpPr/>
      </xdr:nvSpPr>
      <xdr:spPr>
        <a:xfrm>
          <a:off x="0" y="225525"/>
          <a:ext cx="4705200" cy="490200"/>
        </a:xfrm>
        <a:prstGeom prst="round2SameRect">
          <a:avLst>
            <a:gd fmla="val 16667" name="adj1"/>
            <a:gd fmla="val 0" name="adj2"/>
          </a:avLst>
        </a:prstGeom>
        <a:solidFill>
          <a:srgbClr val="2AE6B1"/>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200">
              <a:solidFill>
                <a:srgbClr val="FFFFFF"/>
              </a:solidFill>
              <a:latin typeface="Roboto"/>
              <a:ea typeface="Roboto"/>
              <a:cs typeface="Roboto"/>
              <a:sym typeface="Roboto"/>
            </a:rPr>
            <a:t>FATURAMENTO RECORRENTE vs COMPRAS AVULSAS</a:t>
          </a:r>
          <a:endParaRPr b="1" sz="1200">
            <a:solidFill>
              <a:srgbClr val="FFFFFF"/>
            </a:solidFill>
            <a:latin typeface="Roboto"/>
            <a:ea typeface="Roboto"/>
            <a:cs typeface="Roboto"/>
            <a:sym typeface="Roboto"/>
          </a:endParaRPr>
        </a:p>
      </xdr:txBody>
    </xdr:sp>
    <xdr:clientData fLocksWithSheet="0"/>
  </xdr:oneCellAnchor>
  <xdr:oneCellAnchor>
    <xdr:from>
      <xdr:col>9</xdr:col>
      <xdr:colOff>161925</xdr:colOff>
      <xdr:row>15</xdr:row>
      <xdr:rowOff>133350</xdr:rowOff>
    </xdr:from>
    <xdr:ext cx="3829050" cy="2238375"/>
    <xdr:sp>
      <xdr:nvSpPr>
        <xdr:cNvPr id="15" name="Shape 15"/>
        <xdr:cNvSpPr/>
      </xdr:nvSpPr>
      <xdr:spPr>
        <a:xfrm>
          <a:off x="686200" y="862700"/>
          <a:ext cx="4391700" cy="2793900"/>
        </a:xfrm>
        <a:prstGeom prst="rect">
          <a:avLst/>
        </a:prstGeom>
        <a:solidFill>
          <a:srgbClr val="2AE6B1"/>
        </a:solidFill>
        <a:ln cap="flat" cmpd="sng" w="9525">
          <a:solidFill>
            <a:srgbClr val="2AE6B1"/>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9</xdr:col>
      <xdr:colOff>161925</xdr:colOff>
      <xdr:row>13</xdr:row>
      <xdr:rowOff>152400</xdr:rowOff>
    </xdr:from>
    <xdr:ext cx="3829050" cy="485775"/>
    <xdr:sp>
      <xdr:nvSpPr>
        <xdr:cNvPr id="16" name="Shape 16"/>
        <xdr:cNvSpPr/>
      </xdr:nvSpPr>
      <xdr:spPr>
        <a:xfrm>
          <a:off x="0" y="225525"/>
          <a:ext cx="4705200" cy="490200"/>
        </a:xfrm>
        <a:prstGeom prst="round2SameRect">
          <a:avLst>
            <a:gd fmla="val 16667" name="adj1"/>
            <a:gd fmla="val 0" name="adj2"/>
          </a:avLst>
        </a:prstGeom>
        <a:solidFill>
          <a:srgbClr val="2AE6B1"/>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200">
              <a:solidFill>
                <a:srgbClr val="FFFFFF"/>
              </a:solidFill>
              <a:latin typeface="Roboto"/>
              <a:ea typeface="Roboto"/>
              <a:cs typeface="Roboto"/>
              <a:sym typeface="Roboto"/>
            </a:rPr>
            <a:t>COMPRAS COM CUPOM vs SEM</a:t>
          </a:r>
          <a:r>
            <a:rPr b="1" lang="en-US" sz="1200">
              <a:solidFill>
                <a:srgbClr val="FFFFFF"/>
              </a:solidFill>
              <a:latin typeface="Roboto"/>
              <a:ea typeface="Roboto"/>
              <a:cs typeface="Roboto"/>
              <a:sym typeface="Roboto"/>
            </a:rPr>
            <a:t> CUPOM</a:t>
          </a:r>
          <a:endParaRPr b="1" sz="1200">
            <a:solidFill>
              <a:srgbClr val="FFFFFF"/>
            </a:solidFill>
            <a:latin typeface="Roboto"/>
            <a:ea typeface="Roboto"/>
            <a:cs typeface="Roboto"/>
            <a:sym typeface="Roboto"/>
          </a:endParaRPr>
        </a:p>
      </xdr:txBody>
    </xdr:sp>
    <xdr:clientData fLocksWithSheet="0"/>
  </xdr:oneCellAnchor>
  <xdr:oneCellAnchor>
    <xdr:from>
      <xdr:col>1</xdr:col>
      <xdr:colOff>38100</xdr:colOff>
      <xdr:row>1</xdr:row>
      <xdr:rowOff>85725</xdr:rowOff>
    </xdr:from>
    <xdr:ext cx="523875" cy="504825"/>
    <xdr:grpSp>
      <xdr:nvGrpSpPr>
        <xdr:cNvPr id="10" name="Shape 10" title="Desenho"/>
        <xdr:cNvGrpSpPr/>
      </xdr:nvGrpSpPr>
      <xdr:grpSpPr>
        <a:xfrm>
          <a:off x="152400" y="152400"/>
          <a:ext cx="494600" cy="485775"/>
          <a:chOff x="152400" y="152400"/>
          <a:chExt cx="494600" cy="485775"/>
        </a:xfrm>
      </xdr:grpSpPr>
      <xdr:pic>
        <xdr:nvPicPr>
          <xdr:cNvPr id="17" name="Shape 17"/>
          <xdr:cNvPicPr preferRelativeResize="0"/>
        </xdr:nvPicPr>
        <xdr:blipFill rotWithShape="1">
          <a:blip r:embed="rId5">
            <a:alphaModFix/>
          </a:blip>
          <a:srcRect b="0" l="0" r="68906" t="0"/>
          <a:stretch/>
        </xdr:blipFill>
        <xdr:spPr>
          <a:xfrm>
            <a:off x="152400" y="152400"/>
            <a:ext cx="494600" cy="485775"/>
          </a:xfrm>
          <a:prstGeom prst="rect">
            <a:avLst/>
          </a:prstGeom>
          <a:noFill/>
          <a:ln>
            <a:noFill/>
          </a:ln>
        </xdr:spPr>
      </xdr:pic>
    </xdr:grpSp>
    <xdr:clientData fLocksWithSheet="0"/>
  </xdr:oneCellAnchor>
  <xdr:oneCellAnchor>
    <xdr:from>
      <xdr:col>5</xdr:col>
      <xdr:colOff>628650</xdr:colOff>
      <xdr:row>5</xdr:row>
      <xdr:rowOff>95250</xdr:rowOff>
    </xdr:from>
    <xdr:ext cx="1333500" cy="933450"/>
    <xdr:sp>
      <xdr:nvSpPr>
        <xdr:cNvPr id="18" name="Shape 18"/>
        <xdr:cNvSpPr/>
      </xdr:nvSpPr>
      <xdr:spPr>
        <a:xfrm>
          <a:off x="796300" y="410700"/>
          <a:ext cx="1238400" cy="598800"/>
        </a:xfrm>
        <a:prstGeom prst="roundRect">
          <a:avLst>
            <a:gd fmla="val 16667" name="adj"/>
          </a:avLst>
        </a:prstGeom>
        <a:noFill/>
        <a:ln cap="flat" cmpd="sng" w="9525">
          <a:solidFill>
            <a:srgbClr val="2AE6B1"/>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8</xdr:col>
      <xdr:colOff>581025</xdr:colOff>
      <xdr:row>5</xdr:row>
      <xdr:rowOff>95250</xdr:rowOff>
    </xdr:from>
    <xdr:ext cx="2085975" cy="933450"/>
    <xdr:sp>
      <xdr:nvSpPr>
        <xdr:cNvPr id="19" name="Shape 19"/>
        <xdr:cNvSpPr/>
      </xdr:nvSpPr>
      <xdr:spPr>
        <a:xfrm>
          <a:off x="796300" y="410700"/>
          <a:ext cx="1878000" cy="751200"/>
        </a:xfrm>
        <a:prstGeom prst="roundRect">
          <a:avLst>
            <a:gd fmla="val 16667" name="adj"/>
          </a:avLst>
        </a:prstGeom>
        <a:noFill/>
        <a:ln cap="flat" cmpd="sng" w="9525">
          <a:solidFill>
            <a:srgbClr val="2AE6B1"/>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4</xdr:col>
      <xdr:colOff>276225</xdr:colOff>
      <xdr:row>28</xdr:row>
      <xdr:rowOff>133350</xdr:rowOff>
    </xdr:from>
    <xdr:ext cx="7296150" cy="47625"/>
    <xdr:grpSp>
      <xdr:nvGrpSpPr>
        <xdr:cNvPr id="10" name="Shape 10" title="Desenho"/>
        <xdr:cNvGrpSpPr/>
      </xdr:nvGrpSpPr>
      <xdr:grpSpPr>
        <a:xfrm>
          <a:off x="319200" y="583100"/>
          <a:ext cx="7278300" cy="30600"/>
          <a:chOff x="319200" y="583100"/>
          <a:chExt cx="7278300" cy="30600"/>
        </a:xfrm>
      </xdr:grpSpPr>
      <xdr:cxnSp>
        <xdr:nvCxnSpPr>
          <xdr:cNvPr id="20" name="Shape 20"/>
          <xdr:cNvCxnSpPr/>
        </xdr:nvCxnSpPr>
        <xdr:spPr>
          <a:xfrm flipH="1" rot="10800000">
            <a:off x="319200" y="583100"/>
            <a:ext cx="7278300" cy="30600"/>
          </a:xfrm>
          <a:prstGeom prst="straightConnector1">
            <a:avLst/>
          </a:prstGeom>
          <a:noFill/>
          <a:ln cap="flat" cmpd="sng" w="38100">
            <a:solidFill>
              <a:srgbClr val="FFFFFF"/>
            </a:solidFill>
            <a:prstDash val="solid"/>
            <a:round/>
            <a:headEnd len="med" w="med" type="none"/>
            <a:tailEnd len="med" w="med" type="none"/>
          </a:ln>
        </xdr:spPr>
      </xdr:cxnSp>
    </xdr:grpSp>
    <xdr:clientData fLocksWithSheet="0"/>
  </xdr:oneCellAnchor>
  <xdr:oneCellAnchor>
    <xdr:from>
      <xdr:col>0</xdr:col>
      <xdr:colOff>0</xdr:colOff>
      <xdr:row>4</xdr:row>
      <xdr:rowOff>66675</xdr:rowOff>
    </xdr:from>
    <xdr:ext cx="323850" cy="2409825"/>
    <xdr:sp>
      <xdr:nvSpPr>
        <xdr:cNvPr id="21" name="Shape 21"/>
        <xdr:cNvSpPr txBox="1"/>
      </xdr:nvSpPr>
      <xdr:spPr>
        <a:xfrm rot="-5400000">
          <a:off x="-285500" y="1785375"/>
          <a:ext cx="2387100" cy="3078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800">
              <a:solidFill>
                <a:srgbClr val="FFFFFF"/>
              </a:solidFill>
              <a:latin typeface="Roboto"/>
              <a:ea typeface="Roboto"/>
              <a:cs typeface="Roboto"/>
              <a:sym typeface="Roboto"/>
            </a:rPr>
            <a:t>Última atualização em 10 de março de 2025</a:t>
          </a:r>
          <a:endParaRPr sz="800">
            <a:solidFill>
              <a:srgbClr val="FFFFFF"/>
            </a:solidFill>
            <a:latin typeface="Roboto"/>
            <a:ea typeface="Roboto"/>
            <a:cs typeface="Roboto"/>
            <a:sym typeface="Roboto"/>
          </a:endParaRPr>
        </a:p>
      </xdr:txBody>
    </xdr:sp>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lumn1">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1" cache="SlicerCache_Table_2_Col_1" caption="Column1"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2" cache="SlicerCache_Table_2_Col_1" caption="Column1" rowHeight="247650"/>
</x14:slicers>
</file>

<file path=xl/tables/table1.xml><?xml version="1.0" encoding="utf-8"?>
<table xmlns="http://schemas.openxmlformats.org/spreadsheetml/2006/main" headerRowCount="0" ref="A1:T296" displayName="Table_1" name="Table_1" id="1">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B̳ase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H6" displayName="Table_2" name="Table_2" id="2">
  <autoFilter ref="$A$2:$H$6"/>
  <tableColumns count="8">
    <tableColumn name="Column1" id="1"/>
    <tableColumn name="Column2" id="2"/>
    <tableColumn name="Column3" id="3"/>
    <tableColumn name="Column4" id="4"/>
    <tableColumn name="Column5" id="5"/>
    <tableColumn name="Column6" id="6"/>
    <tableColumn name="Column7" id="7"/>
    <tableColumn name="Column8" id="8"/>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2"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showGridLines="0" workbookViewId="0"/>
  </sheetViews>
  <sheetFormatPr customHeight="1" defaultColWidth="12.63" defaultRowHeight="15.0"/>
  <cols>
    <col customWidth="1" min="1" max="8" width="8.63"/>
    <col customWidth="1" min="9" max="9" width="3.63"/>
    <col customWidth="1" min="10" max="26" width="8.63"/>
  </cols>
  <sheetData>
    <row r="3">
      <c r="B3" s="1" t="s">
        <v>0</v>
      </c>
      <c r="C3" s="1"/>
      <c r="D3" s="1"/>
      <c r="E3" s="1"/>
      <c r="F3" s="1"/>
      <c r="G3" s="1"/>
      <c r="H3" s="1"/>
    </row>
    <row r="5">
      <c r="B5" s="2" t="s">
        <v>1</v>
      </c>
      <c r="C5" s="3" t="s">
        <v>2</v>
      </c>
      <c r="E5" s="4" t="s">
        <v>3</v>
      </c>
      <c r="F5" s="3" t="s">
        <v>4</v>
      </c>
    </row>
    <row r="6">
      <c r="B6" s="5" t="s">
        <v>5</v>
      </c>
      <c r="C6" s="3" t="s">
        <v>2</v>
      </c>
    </row>
    <row r="7">
      <c r="B7" s="6" t="s">
        <v>6</v>
      </c>
      <c r="C7" s="3" t="s">
        <v>7</v>
      </c>
    </row>
    <row r="8">
      <c r="B8" s="7" t="s">
        <v>8</v>
      </c>
      <c r="C8" s="3" t="s">
        <v>7</v>
      </c>
    </row>
    <row r="12">
      <c r="B12" s="1" t="s">
        <v>9</v>
      </c>
      <c r="C12" s="1"/>
      <c r="D12" s="1"/>
      <c r="E12" s="1"/>
      <c r="F12" s="1"/>
      <c r="G12" s="1"/>
      <c r="H12" s="1"/>
      <c r="J12" s="1" t="s">
        <v>10</v>
      </c>
      <c r="K12" s="1"/>
      <c r="L12" s="1"/>
      <c r="M12" s="1"/>
      <c r="N12" s="1"/>
      <c r="O12" s="1"/>
      <c r="P12" s="1"/>
    </row>
    <row r="13">
      <c r="B13" s="8"/>
      <c r="C13" s="8"/>
      <c r="D13" s="8"/>
      <c r="E13" s="8"/>
      <c r="F13" s="8"/>
      <c r="G13" s="8"/>
      <c r="H13" s="8"/>
    </row>
    <row r="14">
      <c r="B14" s="8"/>
      <c r="C14" s="8"/>
      <c r="D14" s="8"/>
      <c r="E14" s="8"/>
      <c r="F14" s="8"/>
      <c r="G14" s="8"/>
      <c r="H14" s="8"/>
    </row>
    <row r="15">
      <c r="B15" s="8"/>
      <c r="C15" s="8"/>
      <c r="D15" s="8"/>
      <c r="E15" s="8"/>
      <c r="F15" s="8"/>
      <c r="G15" s="8"/>
      <c r="H15" s="8"/>
    </row>
    <row r="16">
      <c r="B16" s="8"/>
      <c r="C16" s="8"/>
      <c r="D16" s="8"/>
      <c r="E16" s="8"/>
      <c r="F16" s="8"/>
      <c r="G16" s="8"/>
      <c r="H16" s="8"/>
    </row>
    <row r="17">
      <c r="B17" s="8"/>
      <c r="C17" s="8"/>
      <c r="D17" s="8"/>
      <c r="E17" s="8"/>
      <c r="F17" s="8"/>
      <c r="G17" s="8"/>
      <c r="H17" s="8"/>
    </row>
    <row r="18">
      <c r="B18" s="8"/>
      <c r="C18" s="8"/>
      <c r="D18" s="8"/>
      <c r="E18" s="8"/>
      <c r="F18" s="8"/>
      <c r="G18" s="8"/>
      <c r="H18" s="8"/>
    </row>
    <row r="19">
      <c r="B19" s="8"/>
      <c r="C19" s="8"/>
      <c r="D19" s="8"/>
      <c r="E19" s="8"/>
      <c r="F19" s="8"/>
      <c r="G19" s="8"/>
      <c r="H19" s="8"/>
    </row>
    <row r="20">
      <c r="B20" s="8"/>
      <c r="C20" s="8"/>
      <c r="D20" s="8"/>
      <c r="E20" s="8"/>
      <c r="F20" s="8"/>
      <c r="G20" s="8"/>
      <c r="H20" s="8"/>
    </row>
    <row r="21" ht="15.75" customHeight="1">
      <c r="B21" s="8"/>
      <c r="C21" s="8"/>
      <c r="D21" s="8"/>
      <c r="E21" s="8"/>
      <c r="F21" s="8"/>
      <c r="G21" s="8"/>
      <c r="H21" s="8"/>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workbookViewId="0"/>
  </sheetViews>
  <sheetFormatPr customHeight="1" defaultColWidth="12.63" defaultRowHeight="15.0"/>
  <cols>
    <col customWidth="1" min="1" max="1" width="17.88"/>
    <col customWidth="1" min="2" max="2" width="18.88"/>
    <col customWidth="1" min="3" max="3" width="9.38"/>
    <col customWidth="1" min="4" max="4" width="14.63"/>
    <col customWidth="1" min="5" max="5" width="18.0"/>
    <col customWidth="1" min="6" max="6" width="14.75"/>
    <col customWidth="1" min="7" max="7" width="22.0"/>
    <col customWidth="1" min="8" max="9" width="20.63"/>
    <col customWidth="1" min="10" max="10" width="16.75"/>
    <col customWidth="1" min="11" max="11" width="21.25"/>
    <col customWidth="1" min="12" max="12" width="12.75"/>
    <col customWidth="1" min="13" max="13" width="10.63"/>
    <col customWidth="1" min="14" max="14" width="22.38"/>
    <col customWidth="1" min="15" max="15" width="17.38"/>
    <col customWidth="1" min="16" max="16" width="14.13"/>
    <col customWidth="1" min="17" max="17" width="13.13"/>
    <col customWidth="1" min="18" max="26" width="8.63"/>
  </cols>
  <sheetData>
    <row r="1">
      <c r="A1" s="9" t="s">
        <v>11</v>
      </c>
      <c r="B1" s="9" t="s">
        <v>12</v>
      </c>
      <c r="C1" s="9" t="s">
        <v>13</v>
      </c>
      <c r="D1" s="9" t="s">
        <v>14</v>
      </c>
      <c r="E1" s="9" t="s">
        <v>15</v>
      </c>
      <c r="F1" s="9" t="s">
        <v>16</v>
      </c>
      <c r="G1" s="9" t="s">
        <v>17</v>
      </c>
      <c r="H1" s="9" t="s">
        <v>18</v>
      </c>
      <c r="I1" s="9" t="s">
        <v>19</v>
      </c>
      <c r="J1" s="9" t="s">
        <v>20</v>
      </c>
      <c r="K1" s="9" t="s">
        <v>21</v>
      </c>
      <c r="L1" s="9" t="s">
        <v>22</v>
      </c>
      <c r="M1" s="9" t="s">
        <v>23</v>
      </c>
      <c r="N1" s="10" t="s">
        <v>24</v>
      </c>
      <c r="O1" s="11" t="s">
        <v>25</v>
      </c>
      <c r="P1" s="11" t="s">
        <v>26</v>
      </c>
      <c r="Q1" s="11" t="s">
        <v>27</v>
      </c>
      <c r="R1" s="12"/>
      <c r="S1" s="12"/>
      <c r="T1" s="12"/>
      <c r="U1" s="13"/>
      <c r="V1" s="13"/>
      <c r="W1" s="13"/>
      <c r="X1" s="13"/>
      <c r="Y1" s="13"/>
      <c r="Z1" s="13"/>
    </row>
    <row r="2" ht="16.5" customHeight="1">
      <c r="A2" s="14">
        <v>3231.0</v>
      </c>
      <c r="B2" s="14" t="s">
        <v>28</v>
      </c>
      <c r="C2" s="14" t="s">
        <v>29</v>
      </c>
      <c r="D2" s="15">
        <v>45292.0</v>
      </c>
      <c r="E2" s="14" t="s">
        <v>30</v>
      </c>
      <c r="F2" s="16">
        <v>15.0</v>
      </c>
      <c r="G2" s="14" t="s">
        <v>31</v>
      </c>
      <c r="H2" s="14" t="s">
        <v>30</v>
      </c>
      <c r="I2" s="17">
        <v>30.0</v>
      </c>
      <c r="J2" s="14" t="s">
        <v>30</v>
      </c>
      <c r="K2" s="18">
        <v>20.0</v>
      </c>
      <c r="L2" s="16">
        <v>5.0</v>
      </c>
      <c r="M2" s="16">
        <v>60.0</v>
      </c>
      <c r="N2" s="19">
        <f t="shared" ref="N2:N296" si="1">F2</f>
        <v>15</v>
      </c>
      <c r="O2" s="20">
        <f t="shared" ref="O2:O296" si="2">I2+K2</f>
        <v>50</v>
      </c>
      <c r="P2" s="21" t="str">
        <f t="shared" ref="P2:P296" si="3">IF(L2&gt;0, "Com cupom", "Sem cupom")</f>
        <v>Com cupom</v>
      </c>
      <c r="Q2" s="22">
        <f>AVERAGE(L:L)</f>
        <v>7.193220339</v>
      </c>
      <c r="R2" s="23"/>
      <c r="S2" s="23"/>
      <c r="T2" s="23"/>
    </row>
    <row r="3" ht="16.5" customHeight="1">
      <c r="A3" s="14">
        <v>3232.0</v>
      </c>
      <c r="B3" s="14" t="s">
        <v>32</v>
      </c>
      <c r="C3" s="14" t="s">
        <v>33</v>
      </c>
      <c r="D3" s="15">
        <v>45306.0</v>
      </c>
      <c r="E3" s="14" t="s">
        <v>34</v>
      </c>
      <c r="F3" s="16">
        <v>5.0</v>
      </c>
      <c r="G3" s="14" t="s">
        <v>35</v>
      </c>
      <c r="H3" s="14" t="s">
        <v>34</v>
      </c>
      <c r="I3" s="16">
        <v>0.0</v>
      </c>
      <c r="J3" s="14" t="s">
        <v>34</v>
      </c>
      <c r="K3" s="16">
        <v>0.0</v>
      </c>
      <c r="L3" s="16">
        <v>0.0</v>
      </c>
      <c r="M3" s="16">
        <v>5.0</v>
      </c>
      <c r="N3" s="19">
        <f t="shared" si="1"/>
        <v>5</v>
      </c>
      <c r="O3" s="20">
        <f t="shared" si="2"/>
        <v>0</v>
      </c>
      <c r="P3" s="21" t="str">
        <f t="shared" si="3"/>
        <v>Sem cupom</v>
      </c>
      <c r="Q3" s="23"/>
      <c r="R3" s="23"/>
      <c r="S3" s="23"/>
      <c r="T3" s="23"/>
    </row>
    <row r="4" ht="16.5" customHeight="1">
      <c r="A4" s="14">
        <v>3233.0</v>
      </c>
      <c r="B4" s="14" t="s">
        <v>36</v>
      </c>
      <c r="C4" s="14" t="s">
        <v>37</v>
      </c>
      <c r="D4" s="15">
        <v>45332.0</v>
      </c>
      <c r="E4" s="14" t="s">
        <v>30</v>
      </c>
      <c r="F4" s="16">
        <v>10.0</v>
      </c>
      <c r="G4" s="14" t="s">
        <v>38</v>
      </c>
      <c r="H4" s="14" t="s">
        <v>34</v>
      </c>
      <c r="I4" s="16">
        <v>0.0</v>
      </c>
      <c r="J4" s="14" t="s">
        <v>30</v>
      </c>
      <c r="K4" s="16">
        <v>20.0</v>
      </c>
      <c r="L4" s="16">
        <v>10.0</v>
      </c>
      <c r="M4" s="16">
        <v>20.0</v>
      </c>
      <c r="N4" s="19">
        <f t="shared" si="1"/>
        <v>10</v>
      </c>
      <c r="O4" s="20">
        <f t="shared" si="2"/>
        <v>20</v>
      </c>
      <c r="P4" s="21" t="str">
        <f t="shared" si="3"/>
        <v>Com cupom</v>
      </c>
      <c r="Q4" s="23"/>
      <c r="R4" s="23"/>
      <c r="S4" s="23"/>
      <c r="T4" s="23"/>
    </row>
    <row r="5" ht="16.5" customHeight="1">
      <c r="A5" s="14">
        <v>3234.0</v>
      </c>
      <c r="B5" s="14" t="s">
        <v>39</v>
      </c>
      <c r="C5" s="14" t="s">
        <v>29</v>
      </c>
      <c r="D5" s="15">
        <v>45342.0</v>
      </c>
      <c r="E5" s="14" t="s">
        <v>34</v>
      </c>
      <c r="F5" s="16">
        <v>15.0</v>
      </c>
      <c r="G5" s="14" t="s">
        <v>31</v>
      </c>
      <c r="H5" s="14" t="s">
        <v>30</v>
      </c>
      <c r="I5" s="16">
        <v>30.0</v>
      </c>
      <c r="J5" s="14" t="s">
        <v>30</v>
      </c>
      <c r="K5" s="16">
        <v>20.0</v>
      </c>
      <c r="L5" s="16">
        <v>3.0</v>
      </c>
      <c r="M5" s="16">
        <v>62.0</v>
      </c>
      <c r="N5" s="19">
        <f t="shared" si="1"/>
        <v>15</v>
      </c>
      <c r="O5" s="20">
        <f t="shared" si="2"/>
        <v>50</v>
      </c>
      <c r="P5" s="21" t="str">
        <f t="shared" si="3"/>
        <v>Com cupom</v>
      </c>
      <c r="Q5" s="23"/>
      <c r="R5" s="23"/>
      <c r="S5" s="23"/>
      <c r="T5" s="23"/>
    </row>
    <row r="6" ht="16.5" customHeight="1">
      <c r="A6" s="14">
        <v>3235.0</v>
      </c>
      <c r="B6" s="14" t="s">
        <v>40</v>
      </c>
      <c r="C6" s="14" t="s">
        <v>33</v>
      </c>
      <c r="D6" s="15">
        <v>45356.0</v>
      </c>
      <c r="E6" s="14" t="s">
        <v>30</v>
      </c>
      <c r="F6" s="16">
        <v>5.0</v>
      </c>
      <c r="G6" s="14" t="s">
        <v>31</v>
      </c>
      <c r="H6" s="14" t="s">
        <v>34</v>
      </c>
      <c r="I6" s="16">
        <v>0.0</v>
      </c>
      <c r="J6" s="14" t="s">
        <v>34</v>
      </c>
      <c r="K6" s="16">
        <v>0.0</v>
      </c>
      <c r="L6" s="16">
        <v>1.0</v>
      </c>
      <c r="M6" s="16">
        <v>4.0</v>
      </c>
      <c r="N6" s="19">
        <f t="shared" si="1"/>
        <v>5</v>
      </c>
      <c r="O6" s="20">
        <f t="shared" si="2"/>
        <v>0</v>
      </c>
      <c r="P6" s="21" t="str">
        <f t="shared" si="3"/>
        <v>Com cupom</v>
      </c>
      <c r="Q6" s="23"/>
      <c r="R6" s="23"/>
      <c r="S6" s="23"/>
      <c r="T6" s="23"/>
    </row>
    <row r="7" ht="16.5" customHeight="1">
      <c r="A7" s="14">
        <v>3236.0</v>
      </c>
      <c r="B7" s="14" t="s">
        <v>41</v>
      </c>
      <c r="C7" s="14" t="s">
        <v>37</v>
      </c>
      <c r="D7" s="15">
        <v>45353.0</v>
      </c>
      <c r="E7" s="14" t="s">
        <v>34</v>
      </c>
      <c r="F7" s="16">
        <v>10.0</v>
      </c>
      <c r="G7" s="14" t="s">
        <v>31</v>
      </c>
      <c r="H7" s="14" t="s">
        <v>34</v>
      </c>
      <c r="I7" s="16">
        <v>0.0</v>
      </c>
      <c r="J7" s="14" t="s">
        <v>30</v>
      </c>
      <c r="K7" s="16">
        <v>20.0</v>
      </c>
      <c r="L7" s="16">
        <v>2.0</v>
      </c>
      <c r="M7" s="16">
        <v>28.0</v>
      </c>
      <c r="N7" s="19">
        <f t="shared" si="1"/>
        <v>10</v>
      </c>
      <c r="O7" s="20">
        <f t="shared" si="2"/>
        <v>20</v>
      </c>
      <c r="P7" s="21" t="str">
        <f t="shared" si="3"/>
        <v>Com cupom</v>
      </c>
      <c r="Q7" s="23"/>
      <c r="R7" s="23"/>
      <c r="S7" s="23"/>
      <c r="T7" s="23"/>
    </row>
    <row r="8" ht="16.5" customHeight="1">
      <c r="A8" s="14">
        <v>3237.0</v>
      </c>
      <c r="B8" s="14" t="s">
        <v>42</v>
      </c>
      <c r="C8" s="14" t="s">
        <v>29</v>
      </c>
      <c r="D8" s="15">
        <v>45354.0</v>
      </c>
      <c r="E8" s="14" t="s">
        <v>30</v>
      </c>
      <c r="F8" s="16">
        <v>15.0</v>
      </c>
      <c r="G8" s="14" t="s">
        <v>38</v>
      </c>
      <c r="H8" s="14" t="s">
        <v>30</v>
      </c>
      <c r="I8" s="16">
        <v>30.0</v>
      </c>
      <c r="J8" s="14" t="s">
        <v>30</v>
      </c>
      <c r="K8" s="16">
        <v>20.0</v>
      </c>
      <c r="L8" s="16">
        <v>10.0</v>
      </c>
      <c r="M8" s="16">
        <v>55.0</v>
      </c>
      <c r="N8" s="19">
        <f t="shared" si="1"/>
        <v>15</v>
      </c>
      <c r="O8" s="20">
        <f t="shared" si="2"/>
        <v>50</v>
      </c>
      <c r="P8" s="21" t="str">
        <f t="shared" si="3"/>
        <v>Com cupom</v>
      </c>
      <c r="Q8" s="23"/>
      <c r="R8" s="23"/>
      <c r="S8" s="23"/>
      <c r="T8" s="23"/>
    </row>
    <row r="9" ht="16.5" customHeight="1">
      <c r="A9" s="14">
        <v>3238.0</v>
      </c>
      <c r="B9" s="14" t="s">
        <v>43</v>
      </c>
      <c r="C9" s="14" t="s">
        <v>33</v>
      </c>
      <c r="D9" s="15">
        <v>45355.0</v>
      </c>
      <c r="E9" s="14" t="s">
        <v>30</v>
      </c>
      <c r="F9" s="16">
        <v>5.0</v>
      </c>
      <c r="G9" s="14" t="s">
        <v>35</v>
      </c>
      <c r="H9" s="14" t="s">
        <v>34</v>
      </c>
      <c r="I9" s="16">
        <v>0.0</v>
      </c>
      <c r="J9" s="14" t="s">
        <v>34</v>
      </c>
      <c r="K9" s="16">
        <v>0.0</v>
      </c>
      <c r="L9" s="16">
        <v>0.0</v>
      </c>
      <c r="M9" s="16">
        <v>5.0</v>
      </c>
      <c r="N9" s="19">
        <f t="shared" si="1"/>
        <v>5</v>
      </c>
      <c r="O9" s="20">
        <f t="shared" si="2"/>
        <v>0</v>
      </c>
      <c r="P9" s="21" t="str">
        <f t="shared" si="3"/>
        <v>Sem cupom</v>
      </c>
      <c r="Q9" s="23"/>
      <c r="R9" s="23"/>
      <c r="S9" s="23"/>
      <c r="T9" s="23"/>
    </row>
    <row r="10" ht="16.5" customHeight="1">
      <c r="A10" s="14">
        <v>3239.0</v>
      </c>
      <c r="B10" s="14" t="s">
        <v>44</v>
      </c>
      <c r="C10" s="14" t="s">
        <v>29</v>
      </c>
      <c r="D10" s="15">
        <v>45356.0</v>
      </c>
      <c r="E10" s="14" t="s">
        <v>34</v>
      </c>
      <c r="F10" s="16">
        <v>15.0</v>
      </c>
      <c r="G10" s="14" t="s">
        <v>31</v>
      </c>
      <c r="H10" s="14" t="s">
        <v>30</v>
      </c>
      <c r="I10" s="16">
        <v>30.0</v>
      </c>
      <c r="J10" s="14" t="s">
        <v>30</v>
      </c>
      <c r="K10" s="16">
        <v>20.0</v>
      </c>
      <c r="L10" s="16">
        <v>5.0</v>
      </c>
      <c r="M10" s="16">
        <v>60.0</v>
      </c>
      <c r="N10" s="19">
        <f t="shared" si="1"/>
        <v>15</v>
      </c>
      <c r="O10" s="20">
        <f t="shared" si="2"/>
        <v>50</v>
      </c>
      <c r="P10" s="21" t="str">
        <f t="shared" si="3"/>
        <v>Com cupom</v>
      </c>
      <c r="Q10" s="23"/>
      <c r="R10" s="23"/>
      <c r="S10" s="23"/>
      <c r="T10" s="23"/>
    </row>
    <row r="11" ht="16.5" customHeight="1">
      <c r="A11" s="14">
        <v>3240.0</v>
      </c>
      <c r="B11" s="14" t="s">
        <v>45</v>
      </c>
      <c r="C11" s="14" t="s">
        <v>37</v>
      </c>
      <c r="D11" s="15">
        <v>45357.0</v>
      </c>
      <c r="E11" s="14" t="s">
        <v>30</v>
      </c>
      <c r="F11" s="16">
        <v>10.0</v>
      </c>
      <c r="G11" s="14" t="s">
        <v>38</v>
      </c>
      <c r="H11" s="14" t="s">
        <v>34</v>
      </c>
      <c r="I11" s="16">
        <v>0.0</v>
      </c>
      <c r="J11" s="14" t="s">
        <v>30</v>
      </c>
      <c r="K11" s="16">
        <v>20.0</v>
      </c>
      <c r="L11" s="16">
        <v>15.0</v>
      </c>
      <c r="M11" s="16">
        <v>15.0</v>
      </c>
      <c r="N11" s="19">
        <f t="shared" si="1"/>
        <v>10</v>
      </c>
      <c r="O11" s="20">
        <f t="shared" si="2"/>
        <v>20</v>
      </c>
      <c r="P11" s="21" t="str">
        <f t="shared" si="3"/>
        <v>Com cupom</v>
      </c>
      <c r="Q11" s="23"/>
      <c r="R11" s="23"/>
      <c r="S11" s="23"/>
      <c r="T11" s="23"/>
    </row>
    <row r="12" ht="16.5" customHeight="1">
      <c r="A12" s="14">
        <v>3241.0</v>
      </c>
      <c r="B12" s="14" t="s">
        <v>46</v>
      </c>
      <c r="C12" s="14" t="s">
        <v>33</v>
      </c>
      <c r="D12" s="15">
        <v>45358.0</v>
      </c>
      <c r="E12" s="14" t="s">
        <v>34</v>
      </c>
      <c r="F12" s="16">
        <v>5.0</v>
      </c>
      <c r="G12" s="14" t="s">
        <v>31</v>
      </c>
      <c r="H12" s="14" t="s">
        <v>34</v>
      </c>
      <c r="I12" s="16">
        <v>0.0</v>
      </c>
      <c r="J12" s="14" t="s">
        <v>34</v>
      </c>
      <c r="K12" s="16">
        <v>0.0</v>
      </c>
      <c r="L12" s="16">
        <v>1.0</v>
      </c>
      <c r="M12" s="16">
        <v>4.0</v>
      </c>
      <c r="N12" s="19">
        <f t="shared" si="1"/>
        <v>5</v>
      </c>
      <c r="O12" s="20">
        <f t="shared" si="2"/>
        <v>0</v>
      </c>
      <c r="P12" s="21" t="str">
        <f t="shared" si="3"/>
        <v>Com cupom</v>
      </c>
      <c r="Q12" s="23"/>
      <c r="R12" s="23"/>
      <c r="S12" s="23"/>
      <c r="T12" s="23"/>
    </row>
    <row r="13" ht="16.5" customHeight="1">
      <c r="A13" s="14">
        <v>3242.0</v>
      </c>
      <c r="B13" s="14" t="s">
        <v>47</v>
      </c>
      <c r="C13" s="14" t="s">
        <v>29</v>
      </c>
      <c r="D13" s="15">
        <v>45359.0</v>
      </c>
      <c r="E13" s="14" t="s">
        <v>30</v>
      </c>
      <c r="F13" s="16">
        <v>15.0</v>
      </c>
      <c r="G13" s="14" t="s">
        <v>35</v>
      </c>
      <c r="H13" s="14" t="s">
        <v>30</v>
      </c>
      <c r="I13" s="16">
        <v>30.0</v>
      </c>
      <c r="J13" s="14" t="s">
        <v>30</v>
      </c>
      <c r="K13" s="16">
        <v>20.0</v>
      </c>
      <c r="L13" s="16">
        <v>20.0</v>
      </c>
      <c r="M13" s="16">
        <v>45.0</v>
      </c>
      <c r="N13" s="19">
        <f t="shared" si="1"/>
        <v>15</v>
      </c>
      <c r="O13" s="20">
        <f t="shared" si="2"/>
        <v>50</v>
      </c>
      <c r="P13" s="21" t="str">
        <f t="shared" si="3"/>
        <v>Com cupom</v>
      </c>
      <c r="Q13" s="23"/>
      <c r="R13" s="23"/>
      <c r="S13" s="23"/>
      <c r="T13" s="23"/>
    </row>
    <row r="14" ht="16.5" customHeight="1">
      <c r="A14" s="14">
        <v>3243.0</v>
      </c>
      <c r="B14" s="14" t="s">
        <v>48</v>
      </c>
      <c r="C14" s="14" t="s">
        <v>37</v>
      </c>
      <c r="D14" s="15">
        <v>45360.0</v>
      </c>
      <c r="E14" s="14" t="s">
        <v>34</v>
      </c>
      <c r="F14" s="16">
        <v>10.0</v>
      </c>
      <c r="G14" s="14" t="s">
        <v>31</v>
      </c>
      <c r="H14" s="14" t="s">
        <v>34</v>
      </c>
      <c r="I14" s="16">
        <v>0.0</v>
      </c>
      <c r="J14" s="14" t="s">
        <v>30</v>
      </c>
      <c r="K14" s="16">
        <v>20.0</v>
      </c>
      <c r="L14" s="16">
        <v>10.0</v>
      </c>
      <c r="M14" s="16">
        <v>20.0</v>
      </c>
      <c r="N14" s="19">
        <f t="shared" si="1"/>
        <v>10</v>
      </c>
      <c r="O14" s="20">
        <f t="shared" si="2"/>
        <v>20</v>
      </c>
      <c r="P14" s="21" t="str">
        <f t="shared" si="3"/>
        <v>Com cupom</v>
      </c>
      <c r="Q14" s="23"/>
      <c r="R14" s="23"/>
      <c r="S14" s="23"/>
      <c r="T14" s="23"/>
    </row>
    <row r="15" ht="16.5" customHeight="1">
      <c r="A15" s="14">
        <v>3244.0</v>
      </c>
      <c r="B15" s="14" t="s">
        <v>49</v>
      </c>
      <c r="C15" s="14" t="s">
        <v>33</v>
      </c>
      <c r="D15" s="15">
        <v>45361.0</v>
      </c>
      <c r="E15" s="14" t="s">
        <v>30</v>
      </c>
      <c r="F15" s="16">
        <v>5.0</v>
      </c>
      <c r="G15" s="14" t="s">
        <v>38</v>
      </c>
      <c r="H15" s="14" t="s">
        <v>34</v>
      </c>
      <c r="I15" s="16">
        <v>0.0</v>
      </c>
      <c r="J15" s="14" t="s">
        <v>34</v>
      </c>
      <c r="K15" s="16">
        <v>0.0</v>
      </c>
      <c r="L15" s="16">
        <v>0.0</v>
      </c>
      <c r="M15" s="16">
        <v>5.0</v>
      </c>
      <c r="N15" s="19">
        <f t="shared" si="1"/>
        <v>5</v>
      </c>
      <c r="O15" s="20">
        <f t="shared" si="2"/>
        <v>0</v>
      </c>
      <c r="P15" s="21" t="str">
        <f t="shared" si="3"/>
        <v>Sem cupom</v>
      </c>
      <c r="Q15" s="23"/>
      <c r="R15" s="23"/>
      <c r="S15" s="23"/>
      <c r="T15" s="23"/>
    </row>
    <row r="16" ht="16.5" customHeight="1">
      <c r="A16" s="14">
        <v>3245.0</v>
      </c>
      <c r="B16" s="14" t="s">
        <v>50</v>
      </c>
      <c r="C16" s="14" t="s">
        <v>29</v>
      </c>
      <c r="D16" s="15">
        <v>45362.0</v>
      </c>
      <c r="E16" s="14" t="s">
        <v>34</v>
      </c>
      <c r="F16" s="16">
        <v>15.0</v>
      </c>
      <c r="G16" s="14" t="s">
        <v>31</v>
      </c>
      <c r="H16" s="14" t="s">
        <v>30</v>
      </c>
      <c r="I16" s="16">
        <v>30.0</v>
      </c>
      <c r="J16" s="14" t="s">
        <v>30</v>
      </c>
      <c r="K16" s="16">
        <v>20.0</v>
      </c>
      <c r="L16" s="16">
        <v>8.0</v>
      </c>
      <c r="M16" s="16">
        <v>57.0</v>
      </c>
      <c r="N16" s="19">
        <f t="shared" si="1"/>
        <v>15</v>
      </c>
      <c r="O16" s="20">
        <f t="shared" si="2"/>
        <v>50</v>
      </c>
      <c r="P16" s="21" t="str">
        <f t="shared" si="3"/>
        <v>Com cupom</v>
      </c>
      <c r="Q16" s="23"/>
      <c r="R16" s="23"/>
      <c r="S16" s="23"/>
      <c r="T16" s="23"/>
    </row>
    <row r="17" ht="16.5" customHeight="1">
      <c r="A17" s="14">
        <v>3246.0</v>
      </c>
      <c r="B17" s="14" t="s">
        <v>51</v>
      </c>
      <c r="C17" s="14" t="s">
        <v>37</v>
      </c>
      <c r="D17" s="15">
        <v>45363.0</v>
      </c>
      <c r="E17" s="14" t="s">
        <v>30</v>
      </c>
      <c r="F17" s="16">
        <v>10.0</v>
      </c>
      <c r="G17" s="14" t="s">
        <v>35</v>
      </c>
      <c r="H17" s="14" t="s">
        <v>34</v>
      </c>
      <c r="I17" s="16">
        <v>0.0</v>
      </c>
      <c r="J17" s="14" t="s">
        <v>30</v>
      </c>
      <c r="K17" s="16">
        <v>20.0</v>
      </c>
      <c r="L17" s="16">
        <v>12.0</v>
      </c>
      <c r="M17" s="16">
        <v>18.0</v>
      </c>
      <c r="N17" s="19">
        <f t="shared" si="1"/>
        <v>10</v>
      </c>
      <c r="O17" s="20">
        <f t="shared" si="2"/>
        <v>20</v>
      </c>
      <c r="P17" s="21" t="str">
        <f t="shared" si="3"/>
        <v>Com cupom</v>
      </c>
      <c r="Q17" s="23"/>
      <c r="R17" s="23"/>
      <c r="S17" s="23"/>
      <c r="T17" s="23"/>
    </row>
    <row r="18" ht="16.5" customHeight="1">
      <c r="A18" s="14">
        <v>3247.0</v>
      </c>
      <c r="B18" s="14" t="s">
        <v>52</v>
      </c>
      <c r="C18" s="14" t="s">
        <v>33</v>
      </c>
      <c r="D18" s="15">
        <v>45364.0</v>
      </c>
      <c r="E18" s="14" t="s">
        <v>34</v>
      </c>
      <c r="F18" s="16">
        <v>5.0</v>
      </c>
      <c r="G18" s="14" t="s">
        <v>31</v>
      </c>
      <c r="H18" s="14" t="s">
        <v>34</v>
      </c>
      <c r="I18" s="16">
        <v>0.0</v>
      </c>
      <c r="J18" s="14" t="s">
        <v>34</v>
      </c>
      <c r="K18" s="16">
        <v>0.0</v>
      </c>
      <c r="L18" s="16">
        <v>2.0</v>
      </c>
      <c r="M18" s="16">
        <v>3.0</v>
      </c>
      <c r="N18" s="19">
        <f t="shared" si="1"/>
        <v>5</v>
      </c>
      <c r="O18" s="20">
        <f t="shared" si="2"/>
        <v>0</v>
      </c>
      <c r="P18" s="21" t="str">
        <f t="shared" si="3"/>
        <v>Com cupom</v>
      </c>
      <c r="Q18" s="23"/>
      <c r="R18" s="23"/>
      <c r="S18" s="23"/>
      <c r="T18" s="23"/>
    </row>
    <row r="19" ht="16.5" customHeight="1">
      <c r="A19" s="14">
        <v>3248.0</v>
      </c>
      <c r="B19" s="14" t="s">
        <v>53</v>
      </c>
      <c r="C19" s="14" t="s">
        <v>29</v>
      </c>
      <c r="D19" s="15">
        <v>45365.0</v>
      </c>
      <c r="E19" s="14" t="s">
        <v>30</v>
      </c>
      <c r="F19" s="16">
        <v>15.0</v>
      </c>
      <c r="G19" s="14" t="s">
        <v>38</v>
      </c>
      <c r="H19" s="14" t="s">
        <v>30</v>
      </c>
      <c r="I19" s="16">
        <v>30.0</v>
      </c>
      <c r="J19" s="14" t="s">
        <v>30</v>
      </c>
      <c r="K19" s="16">
        <v>20.0</v>
      </c>
      <c r="L19" s="16">
        <v>7.0</v>
      </c>
      <c r="M19" s="16">
        <v>58.0</v>
      </c>
      <c r="N19" s="19">
        <f t="shared" si="1"/>
        <v>15</v>
      </c>
      <c r="O19" s="20">
        <f t="shared" si="2"/>
        <v>50</v>
      </c>
      <c r="P19" s="21" t="str">
        <f t="shared" si="3"/>
        <v>Com cupom</v>
      </c>
      <c r="Q19" s="23"/>
      <c r="R19" s="23"/>
      <c r="S19" s="23"/>
      <c r="T19" s="23"/>
    </row>
    <row r="20" ht="16.5" customHeight="1">
      <c r="A20" s="14">
        <v>3249.0</v>
      </c>
      <c r="B20" s="14" t="s">
        <v>54</v>
      </c>
      <c r="C20" s="14" t="s">
        <v>37</v>
      </c>
      <c r="D20" s="15">
        <v>45366.0</v>
      </c>
      <c r="E20" s="14" t="s">
        <v>34</v>
      </c>
      <c r="F20" s="16">
        <v>10.0</v>
      </c>
      <c r="G20" s="14" t="s">
        <v>31</v>
      </c>
      <c r="H20" s="14" t="s">
        <v>34</v>
      </c>
      <c r="I20" s="16">
        <v>0.0</v>
      </c>
      <c r="J20" s="14" t="s">
        <v>30</v>
      </c>
      <c r="K20" s="16">
        <v>20.0</v>
      </c>
      <c r="L20" s="16">
        <v>5.0</v>
      </c>
      <c r="M20" s="16">
        <v>25.0</v>
      </c>
      <c r="N20" s="19">
        <f t="shared" si="1"/>
        <v>10</v>
      </c>
      <c r="O20" s="20">
        <f t="shared" si="2"/>
        <v>20</v>
      </c>
      <c r="P20" s="21" t="str">
        <f t="shared" si="3"/>
        <v>Com cupom</v>
      </c>
      <c r="Q20" s="23"/>
      <c r="R20" s="23"/>
      <c r="S20" s="23"/>
      <c r="T20" s="23"/>
    </row>
    <row r="21" ht="16.5" customHeight="1">
      <c r="A21" s="14">
        <v>3250.0</v>
      </c>
      <c r="B21" s="14" t="s">
        <v>55</v>
      </c>
      <c r="C21" s="14" t="s">
        <v>33</v>
      </c>
      <c r="D21" s="15">
        <v>45367.0</v>
      </c>
      <c r="E21" s="14" t="s">
        <v>30</v>
      </c>
      <c r="F21" s="16">
        <v>5.0</v>
      </c>
      <c r="G21" s="14" t="s">
        <v>35</v>
      </c>
      <c r="H21" s="14" t="s">
        <v>34</v>
      </c>
      <c r="I21" s="16">
        <v>0.0</v>
      </c>
      <c r="J21" s="14" t="s">
        <v>34</v>
      </c>
      <c r="K21" s="16">
        <v>0.0</v>
      </c>
      <c r="L21" s="16">
        <v>0.0</v>
      </c>
      <c r="M21" s="16">
        <v>5.0</v>
      </c>
      <c r="N21" s="19">
        <f t="shared" si="1"/>
        <v>5</v>
      </c>
      <c r="O21" s="20">
        <f t="shared" si="2"/>
        <v>0</v>
      </c>
      <c r="P21" s="21" t="str">
        <f t="shared" si="3"/>
        <v>Sem cupom</v>
      </c>
      <c r="Q21" s="23"/>
      <c r="R21" s="23"/>
      <c r="S21" s="23"/>
      <c r="T21" s="23"/>
    </row>
    <row r="22" ht="16.5" customHeight="1">
      <c r="A22" s="14">
        <v>3251.0</v>
      </c>
      <c r="B22" s="14" t="s">
        <v>56</v>
      </c>
      <c r="C22" s="14" t="s">
        <v>29</v>
      </c>
      <c r="D22" s="15">
        <v>45368.0</v>
      </c>
      <c r="E22" s="14" t="s">
        <v>34</v>
      </c>
      <c r="F22" s="16">
        <v>15.0</v>
      </c>
      <c r="G22" s="14" t="s">
        <v>31</v>
      </c>
      <c r="H22" s="14" t="s">
        <v>30</v>
      </c>
      <c r="I22" s="16">
        <v>30.0</v>
      </c>
      <c r="J22" s="14" t="s">
        <v>30</v>
      </c>
      <c r="K22" s="16">
        <v>20.0</v>
      </c>
      <c r="L22" s="16">
        <v>3.0</v>
      </c>
      <c r="M22" s="16">
        <v>62.0</v>
      </c>
      <c r="N22" s="19">
        <f t="shared" si="1"/>
        <v>15</v>
      </c>
      <c r="O22" s="20">
        <f t="shared" si="2"/>
        <v>50</v>
      </c>
      <c r="P22" s="21" t="str">
        <f t="shared" si="3"/>
        <v>Com cupom</v>
      </c>
      <c r="Q22" s="23"/>
      <c r="R22" s="23"/>
      <c r="S22" s="23"/>
      <c r="T22" s="23"/>
    </row>
    <row r="23" ht="16.5" customHeight="1">
      <c r="A23" s="14">
        <v>3252.0</v>
      </c>
      <c r="B23" s="14" t="s">
        <v>57</v>
      </c>
      <c r="C23" s="14" t="s">
        <v>37</v>
      </c>
      <c r="D23" s="15">
        <v>45369.0</v>
      </c>
      <c r="E23" s="14" t="s">
        <v>30</v>
      </c>
      <c r="F23" s="16">
        <v>10.0</v>
      </c>
      <c r="G23" s="14" t="s">
        <v>38</v>
      </c>
      <c r="H23" s="14" t="s">
        <v>34</v>
      </c>
      <c r="I23" s="16">
        <v>0.0</v>
      </c>
      <c r="J23" s="14" t="s">
        <v>30</v>
      </c>
      <c r="K23" s="16">
        <v>20.0</v>
      </c>
      <c r="L23" s="16">
        <v>15.0</v>
      </c>
      <c r="M23" s="16">
        <v>15.0</v>
      </c>
      <c r="N23" s="19">
        <f t="shared" si="1"/>
        <v>10</v>
      </c>
      <c r="O23" s="20">
        <f t="shared" si="2"/>
        <v>20</v>
      </c>
      <c r="P23" s="21" t="str">
        <f t="shared" si="3"/>
        <v>Com cupom</v>
      </c>
      <c r="Q23" s="23"/>
      <c r="R23" s="23"/>
      <c r="S23" s="23"/>
      <c r="T23" s="23"/>
    </row>
    <row r="24" ht="16.5" customHeight="1">
      <c r="A24" s="14">
        <v>3253.0</v>
      </c>
      <c r="B24" s="14" t="s">
        <v>58</v>
      </c>
      <c r="C24" s="14" t="s">
        <v>33</v>
      </c>
      <c r="D24" s="15">
        <v>45370.0</v>
      </c>
      <c r="E24" s="14" t="s">
        <v>34</v>
      </c>
      <c r="F24" s="16">
        <v>5.0</v>
      </c>
      <c r="G24" s="14" t="s">
        <v>31</v>
      </c>
      <c r="H24" s="14" t="s">
        <v>34</v>
      </c>
      <c r="I24" s="16">
        <v>0.0</v>
      </c>
      <c r="J24" s="14" t="s">
        <v>34</v>
      </c>
      <c r="K24" s="16">
        <v>0.0</v>
      </c>
      <c r="L24" s="16">
        <v>1.0</v>
      </c>
      <c r="M24" s="16">
        <v>4.0</v>
      </c>
      <c r="N24" s="19">
        <f t="shared" si="1"/>
        <v>5</v>
      </c>
      <c r="O24" s="20">
        <f t="shared" si="2"/>
        <v>0</v>
      </c>
      <c r="P24" s="21" t="str">
        <f t="shared" si="3"/>
        <v>Com cupom</v>
      </c>
      <c r="Q24" s="23"/>
      <c r="R24" s="23"/>
      <c r="S24" s="23"/>
      <c r="T24" s="23"/>
    </row>
    <row r="25" ht="16.5" customHeight="1">
      <c r="A25" s="14">
        <v>3254.0</v>
      </c>
      <c r="B25" s="14" t="s">
        <v>59</v>
      </c>
      <c r="C25" s="14" t="s">
        <v>29</v>
      </c>
      <c r="D25" s="15">
        <v>45371.0</v>
      </c>
      <c r="E25" s="14" t="s">
        <v>30</v>
      </c>
      <c r="F25" s="16">
        <v>15.0</v>
      </c>
      <c r="G25" s="14" t="s">
        <v>35</v>
      </c>
      <c r="H25" s="14" t="s">
        <v>30</v>
      </c>
      <c r="I25" s="16">
        <v>30.0</v>
      </c>
      <c r="J25" s="14" t="s">
        <v>30</v>
      </c>
      <c r="K25" s="16">
        <v>20.0</v>
      </c>
      <c r="L25" s="16">
        <v>20.0</v>
      </c>
      <c r="M25" s="16">
        <v>45.0</v>
      </c>
      <c r="N25" s="19">
        <f t="shared" si="1"/>
        <v>15</v>
      </c>
      <c r="O25" s="20">
        <f t="shared" si="2"/>
        <v>50</v>
      </c>
      <c r="P25" s="21" t="str">
        <f t="shared" si="3"/>
        <v>Com cupom</v>
      </c>
      <c r="Q25" s="23"/>
      <c r="R25" s="23"/>
      <c r="S25" s="23"/>
      <c r="T25" s="23"/>
    </row>
    <row r="26" ht="16.5" customHeight="1">
      <c r="A26" s="14">
        <v>3255.0</v>
      </c>
      <c r="B26" s="14" t="s">
        <v>60</v>
      </c>
      <c r="C26" s="14" t="s">
        <v>37</v>
      </c>
      <c r="D26" s="15">
        <v>45372.0</v>
      </c>
      <c r="E26" s="14" t="s">
        <v>34</v>
      </c>
      <c r="F26" s="16">
        <v>10.0</v>
      </c>
      <c r="G26" s="14" t="s">
        <v>31</v>
      </c>
      <c r="H26" s="14" t="s">
        <v>34</v>
      </c>
      <c r="I26" s="16">
        <v>0.0</v>
      </c>
      <c r="J26" s="14" t="s">
        <v>30</v>
      </c>
      <c r="K26" s="16">
        <v>20.0</v>
      </c>
      <c r="L26" s="16">
        <v>10.0</v>
      </c>
      <c r="M26" s="16">
        <v>20.0</v>
      </c>
      <c r="N26" s="19">
        <f t="shared" si="1"/>
        <v>10</v>
      </c>
      <c r="O26" s="20">
        <f t="shared" si="2"/>
        <v>20</v>
      </c>
      <c r="P26" s="21" t="str">
        <f t="shared" si="3"/>
        <v>Com cupom</v>
      </c>
      <c r="Q26" s="23"/>
      <c r="R26" s="23"/>
      <c r="S26" s="23"/>
      <c r="T26" s="23"/>
    </row>
    <row r="27" ht="16.5" customHeight="1">
      <c r="A27" s="14">
        <v>3256.0</v>
      </c>
      <c r="B27" s="14" t="s">
        <v>61</v>
      </c>
      <c r="C27" s="14" t="s">
        <v>33</v>
      </c>
      <c r="D27" s="15">
        <v>45373.0</v>
      </c>
      <c r="E27" s="14" t="s">
        <v>30</v>
      </c>
      <c r="F27" s="16">
        <v>5.0</v>
      </c>
      <c r="G27" s="14" t="s">
        <v>38</v>
      </c>
      <c r="H27" s="14" t="s">
        <v>34</v>
      </c>
      <c r="I27" s="16">
        <v>0.0</v>
      </c>
      <c r="J27" s="14" t="s">
        <v>34</v>
      </c>
      <c r="K27" s="16">
        <v>0.0</v>
      </c>
      <c r="L27" s="16">
        <v>0.0</v>
      </c>
      <c r="M27" s="16">
        <v>5.0</v>
      </c>
      <c r="N27" s="19">
        <f t="shared" si="1"/>
        <v>5</v>
      </c>
      <c r="O27" s="20">
        <f t="shared" si="2"/>
        <v>0</v>
      </c>
      <c r="P27" s="21" t="str">
        <f t="shared" si="3"/>
        <v>Sem cupom</v>
      </c>
      <c r="Q27" s="23"/>
      <c r="R27" s="23"/>
      <c r="S27" s="23"/>
      <c r="T27" s="23"/>
    </row>
    <row r="28" ht="16.5" customHeight="1">
      <c r="A28" s="14">
        <v>3257.0</v>
      </c>
      <c r="B28" s="14" t="s">
        <v>62</v>
      </c>
      <c r="C28" s="14" t="s">
        <v>29</v>
      </c>
      <c r="D28" s="15">
        <v>45374.0</v>
      </c>
      <c r="E28" s="14" t="s">
        <v>34</v>
      </c>
      <c r="F28" s="16">
        <v>15.0</v>
      </c>
      <c r="G28" s="14" t="s">
        <v>31</v>
      </c>
      <c r="H28" s="14" t="s">
        <v>30</v>
      </c>
      <c r="I28" s="16">
        <v>30.0</v>
      </c>
      <c r="J28" s="14" t="s">
        <v>30</v>
      </c>
      <c r="K28" s="16">
        <v>20.0</v>
      </c>
      <c r="L28" s="16">
        <v>5.0</v>
      </c>
      <c r="M28" s="16">
        <v>60.0</v>
      </c>
      <c r="N28" s="19">
        <f t="shared" si="1"/>
        <v>15</v>
      </c>
      <c r="O28" s="20">
        <f t="shared" si="2"/>
        <v>50</v>
      </c>
      <c r="P28" s="21" t="str">
        <f t="shared" si="3"/>
        <v>Com cupom</v>
      </c>
      <c r="Q28" s="23"/>
      <c r="R28" s="23"/>
      <c r="S28" s="23"/>
      <c r="T28" s="23"/>
    </row>
    <row r="29" ht="16.5" customHeight="1">
      <c r="A29" s="14">
        <v>3258.0</v>
      </c>
      <c r="B29" s="14" t="s">
        <v>63</v>
      </c>
      <c r="C29" s="14" t="s">
        <v>37</v>
      </c>
      <c r="D29" s="15">
        <v>45375.0</v>
      </c>
      <c r="E29" s="14" t="s">
        <v>30</v>
      </c>
      <c r="F29" s="16">
        <v>10.0</v>
      </c>
      <c r="G29" s="14" t="s">
        <v>35</v>
      </c>
      <c r="H29" s="14" t="s">
        <v>34</v>
      </c>
      <c r="I29" s="16">
        <v>0.0</v>
      </c>
      <c r="J29" s="14" t="s">
        <v>30</v>
      </c>
      <c r="K29" s="16">
        <v>20.0</v>
      </c>
      <c r="L29" s="16">
        <v>15.0</v>
      </c>
      <c r="M29" s="16">
        <v>15.0</v>
      </c>
      <c r="N29" s="19">
        <f t="shared" si="1"/>
        <v>10</v>
      </c>
      <c r="O29" s="20">
        <f t="shared" si="2"/>
        <v>20</v>
      </c>
      <c r="P29" s="21" t="str">
        <f t="shared" si="3"/>
        <v>Com cupom</v>
      </c>
      <c r="Q29" s="23"/>
      <c r="R29" s="23"/>
      <c r="S29" s="23"/>
      <c r="T29" s="23"/>
    </row>
    <row r="30" ht="16.5" customHeight="1">
      <c r="A30" s="14">
        <v>3259.0</v>
      </c>
      <c r="B30" s="14" t="s">
        <v>64</v>
      </c>
      <c r="C30" s="14" t="s">
        <v>33</v>
      </c>
      <c r="D30" s="15">
        <v>45376.0</v>
      </c>
      <c r="E30" s="14" t="s">
        <v>34</v>
      </c>
      <c r="F30" s="16">
        <v>5.0</v>
      </c>
      <c r="G30" s="14" t="s">
        <v>31</v>
      </c>
      <c r="H30" s="14" t="s">
        <v>34</v>
      </c>
      <c r="I30" s="16">
        <v>0.0</v>
      </c>
      <c r="J30" s="14" t="s">
        <v>34</v>
      </c>
      <c r="K30" s="16">
        <v>0.0</v>
      </c>
      <c r="L30" s="16">
        <v>1.0</v>
      </c>
      <c r="M30" s="16">
        <v>4.0</v>
      </c>
      <c r="N30" s="19">
        <f t="shared" si="1"/>
        <v>5</v>
      </c>
      <c r="O30" s="20">
        <f t="shared" si="2"/>
        <v>0</v>
      </c>
      <c r="P30" s="21" t="str">
        <f t="shared" si="3"/>
        <v>Com cupom</v>
      </c>
      <c r="Q30" s="23"/>
      <c r="R30" s="23"/>
      <c r="S30" s="23"/>
      <c r="T30" s="23"/>
    </row>
    <row r="31" ht="16.5" customHeight="1">
      <c r="A31" s="14">
        <v>3260.0</v>
      </c>
      <c r="B31" s="14" t="s">
        <v>65</v>
      </c>
      <c r="C31" s="14" t="s">
        <v>29</v>
      </c>
      <c r="D31" s="15">
        <v>45377.0</v>
      </c>
      <c r="E31" s="14" t="s">
        <v>30</v>
      </c>
      <c r="F31" s="16">
        <v>15.0</v>
      </c>
      <c r="G31" s="14" t="s">
        <v>38</v>
      </c>
      <c r="H31" s="14" t="s">
        <v>30</v>
      </c>
      <c r="I31" s="16">
        <v>30.0</v>
      </c>
      <c r="J31" s="14" t="s">
        <v>30</v>
      </c>
      <c r="K31" s="16">
        <v>20.0</v>
      </c>
      <c r="L31" s="16">
        <v>7.0</v>
      </c>
      <c r="M31" s="16">
        <v>58.0</v>
      </c>
      <c r="N31" s="19">
        <f t="shared" si="1"/>
        <v>15</v>
      </c>
      <c r="O31" s="20">
        <f t="shared" si="2"/>
        <v>50</v>
      </c>
      <c r="P31" s="21" t="str">
        <f t="shared" si="3"/>
        <v>Com cupom</v>
      </c>
      <c r="Q31" s="23"/>
      <c r="R31" s="23"/>
      <c r="S31" s="23"/>
      <c r="T31" s="23"/>
    </row>
    <row r="32" ht="16.5" customHeight="1">
      <c r="A32" s="14">
        <v>3261.0</v>
      </c>
      <c r="B32" s="14" t="s">
        <v>66</v>
      </c>
      <c r="C32" s="14" t="s">
        <v>37</v>
      </c>
      <c r="D32" s="15">
        <v>45378.0</v>
      </c>
      <c r="E32" s="14" t="s">
        <v>34</v>
      </c>
      <c r="F32" s="16">
        <v>10.0</v>
      </c>
      <c r="G32" s="14" t="s">
        <v>31</v>
      </c>
      <c r="H32" s="14" t="s">
        <v>34</v>
      </c>
      <c r="I32" s="16">
        <v>0.0</v>
      </c>
      <c r="J32" s="14" t="s">
        <v>30</v>
      </c>
      <c r="K32" s="16">
        <v>20.0</v>
      </c>
      <c r="L32" s="16">
        <v>10.0</v>
      </c>
      <c r="M32" s="16">
        <v>20.0</v>
      </c>
      <c r="N32" s="19">
        <f t="shared" si="1"/>
        <v>10</v>
      </c>
      <c r="O32" s="20">
        <f t="shared" si="2"/>
        <v>20</v>
      </c>
      <c r="P32" s="21" t="str">
        <f t="shared" si="3"/>
        <v>Com cupom</v>
      </c>
      <c r="Q32" s="23"/>
      <c r="R32" s="23"/>
      <c r="S32" s="23"/>
      <c r="T32" s="23"/>
    </row>
    <row r="33" ht="16.5" customHeight="1">
      <c r="A33" s="14">
        <v>3262.0</v>
      </c>
      <c r="B33" s="14" t="s">
        <v>67</v>
      </c>
      <c r="C33" s="14" t="s">
        <v>33</v>
      </c>
      <c r="D33" s="15">
        <v>45379.0</v>
      </c>
      <c r="E33" s="14" t="s">
        <v>30</v>
      </c>
      <c r="F33" s="16">
        <v>5.0</v>
      </c>
      <c r="G33" s="14" t="s">
        <v>35</v>
      </c>
      <c r="H33" s="14" t="s">
        <v>34</v>
      </c>
      <c r="I33" s="16">
        <v>0.0</v>
      </c>
      <c r="J33" s="14" t="s">
        <v>34</v>
      </c>
      <c r="K33" s="16">
        <v>0.0</v>
      </c>
      <c r="L33" s="16">
        <v>0.0</v>
      </c>
      <c r="M33" s="16">
        <v>5.0</v>
      </c>
      <c r="N33" s="19">
        <f t="shared" si="1"/>
        <v>5</v>
      </c>
      <c r="O33" s="20">
        <f t="shared" si="2"/>
        <v>0</v>
      </c>
      <c r="P33" s="21" t="str">
        <f t="shared" si="3"/>
        <v>Sem cupom</v>
      </c>
      <c r="Q33" s="23"/>
      <c r="R33" s="23"/>
      <c r="S33" s="23"/>
      <c r="T33" s="23"/>
    </row>
    <row r="34" ht="16.5" customHeight="1">
      <c r="A34" s="14">
        <v>3263.0</v>
      </c>
      <c r="B34" s="14" t="s">
        <v>68</v>
      </c>
      <c r="C34" s="14" t="s">
        <v>29</v>
      </c>
      <c r="D34" s="15">
        <v>45380.0</v>
      </c>
      <c r="E34" s="14" t="s">
        <v>34</v>
      </c>
      <c r="F34" s="16">
        <v>15.0</v>
      </c>
      <c r="G34" s="14" t="s">
        <v>31</v>
      </c>
      <c r="H34" s="14" t="s">
        <v>30</v>
      </c>
      <c r="I34" s="16">
        <v>30.0</v>
      </c>
      <c r="J34" s="14" t="s">
        <v>30</v>
      </c>
      <c r="K34" s="16">
        <v>20.0</v>
      </c>
      <c r="L34" s="16">
        <v>3.0</v>
      </c>
      <c r="M34" s="16">
        <v>62.0</v>
      </c>
      <c r="N34" s="19">
        <f t="shared" si="1"/>
        <v>15</v>
      </c>
      <c r="O34" s="20">
        <f t="shared" si="2"/>
        <v>50</v>
      </c>
      <c r="P34" s="21" t="str">
        <f t="shared" si="3"/>
        <v>Com cupom</v>
      </c>
      <c r="Q34" s="23"/>
      <c r="R34" s="23"/>
      <c r="S34" s="23"/>
      <c r="T34" s="23"/>
    </row>
    <row r="35" ht="16.5" customHeight="1">
      <c r="A35" s="14">
        <v>3264.0</v>
      </c>
      <c r="B35" s="14" t="s">
        <v>69</v>
      </c>
      <c r="C35" s="14" t="s">
        <v>37</v>
      </c>
      <c r="D35" s="15">
        <v>45381.0</v>
      </c>
      <c r="E35" s="14" t="s">
        <v>30</v>
      </c>
      <c r="F35" s="16">
        <v>10.0</v>
      </c>
      <c r="G35" s="14" t="s">
        <v>38</v>
      </c>
      <c r="H35" s="14" t="s">
        <v>34</v>
      </c>
      <c r="I35" s="16">
        <v>0.0</v>
      </c>
      <c r="J35" s="14" t="s">
        <v>30</v>
      </c>
      <c r="K35" s="16">
        <v>20.0</v>
      </c>
      <c r="L35" s="16">
        <v>15.0</v>
      </c>
      <c r="M35" s="16">
        <v>15.0</v>
      </c>
      <c r="N35" s="19">
        <f t="shared" si="1"/>
        <v>10</v>
      </c>
      <c r="O35" s="20">
        <f t="shared" si="2"/>
        <v>20</v>
      </c>
      <c r="P35" s="21" t="str">
        <f t="shared" si="3"/>
        <v>Com cupom</v>
      </c>
      <c r="Q35" s="23"/>
      <c r="R35" s="23"/>
      <c r="S35" s="23"/>
      <c r="T35" s="23"/>
    </row>
    <row r="36" ht="16.5" customHeight="1">
      <c r="A36" s="14">
        <v>3265.0</v>
      </c>
      <c r="B36" s="14" t="s">
        <v>70</v>
      </c>
      <c r="C36" s="14" t="s">
        <v>33</v>
      </c>
      <c r="D36" s="15">
        <v>45382.0</v>
      </c>
      <c r="E36" s="14" t="s">
        <v>34</v>
      </c>
      <c r="F36" s="16">
        <v>5.0</v>
      </c>
      <c r="G36" s="14" t="s">
        <v>31</v>
      </c>
      <c r="H36" s="14" t="s">
        <v>34</v>
      </c>
      <c r="I36" s="16">
        <v>0.0</v>
      </c>
      <c r="J36" s="14" t="s">
        <v>34</v>
      </c>
      <c r="K36" s="16">
        <v>0.0</v>
      </c>
      <c r="L36" s="16">
        <v>1.0</v>
      </c>
      <c r="M36" s="16">
        <v>4.0</v>
      </c>
      <c r="N36" s="19">
        <f t="shared" si="1"/>
        <v>5</v>
      </c>
      <c r="O36" s="20">
        <f t="shared" si="2"/>
        <v>0</v>
      </c>
      <c r="P36" s="21" t="str">
        <f t="shared" si="3"/>
        <v>Com cupom</v>
      </c>
      <c r="Q36" s="23"/>
      <c r="R36" s="23"/>
      <c r="S36" s="23"/>
      <c r="T36" s="23"/>
    </row>
    <row r="37" ht="16.5" customHeight="1">
      <c r="A37" s="14">
        <v>3266.0</v>
      </c>
      <c r="B37" s="14" t="s">
        <v>71</v>
      </c>
      <c r="C37" s="14" t="s">
        <v>33</v>
      </c>
      <c r="D37" s="15">
        <v>45383.0</v>
      </c>
      <c r="E37" s="14" t="s">
        <v>30</v>
      </c>
      <c r="F37" s="16">
        <v>5.0</v>
      </c>
      <c r="G37" s="14" t="s">
        <v>31</v>
      </c>
      <c r="H37" s="14" t="s">
        <v>34</v>
      </c>
      <c r="I37" s="16">
        <v>0.0</v>
      </c>
      <c r="J37" s="14" t="s">
        <v>34</v>
      </c>
      <c r="K37" s="16">
        <v>0.0</v>
      </c>
      <c r="L37" s="16">
        <v>0.0</v>
      </c>
      <c r="M37" s="16">
        <v>5.0</v>
      </c>
      <c r="N37" s="19">
        <f t="shared" si="1"/>
        <v>5</v>
      </c>
      <c r="O37" s="20">
        <f t="shared" si="2"/>
        <v>0</v>
      </c>
      <c r="P37" s="21" t="str">
        <f t="shared" si="3"/>
        <v>Sem cupom</v>
      </c>
      <c r="Q37" s="23"/>
      <c r="R37" s="23"/>
      <c r="S37" s="23"/>
      <c r="T37" s="23"/>
    </row>
    <row r="38" ht="16.5" customHeight="1">
      <c r="A38" s="14">
        <v>3267.0</v>
      </c>
      <c r="B38" s="14" t="s">
        <v>72</v>
      </c>
      <c r="C38" s="14" t="s">
        <v>29</v>
      </c>
      <c r="D38" s="15">
        <v>45384.0</v>
      </c>
      <c r="E38" s="14" t="s">
        <v>34</v>
      </c>
      <c r="F38" s="16">
        <v>15.0</v>
      </c>
      <c r="G38" s="14" t="s">
        <v>38</v>
      </c>
      <c r="H38" s="14" t="s">
        <v>30</v>
      </c>
      <c r="I38" s="16">
        <v>30.0</v>
      </c>
      <c r="J38" s="14" t="s">
        <v>30</v>
      </c>
      <c r="K38" s="16">
        <v>20.0</v>
      </c>
      <c r="L38" s="16">
        <v>7.0</v>
      </c>
      <c r="M38" s="16">
        <v>58.0</v>
      </c>
      <c r="N38" s="19">
        <f t="shared" si="1"/>
        <v>15</v>
      </c>
      <c r="O38" s="20">
        <f t="shared" si="2"/>
        <v>50</v>
      </c>
      <c r="P38" s="21" t="str">
        <f t="shared" si="3"/>
        <v>Com cupom</v>
      </c>
      <c r="Q38" s="23"/>
      <c r="R38" s="23"/>
      <c r="S38" s="23"/>
      <c r="T38" s="23"/>
    </row>
    <row r="39" ht="16.5" customHeight="1">
      <c r="A39" s="14">
        <v>3268.0</v>
      </c>
      <c r="B39" s="14" t="s">
        <v>73</v>
      </c>
      <c r="C39" s="14" t="s">
        <v>37</v>
      </c>
      <c r="D39" s="15">
        <v>45385.0</v>
      </c>
      <c r="E39" s="14" t="s">
        <v>30</v>
      </c>
      <c r="F39" s="16">
        <v>10.0</v>
      </c>
      <c r="G39" s="14" t="s">
        <v>35</v>
      </c>
      <c r="H39" s="14" t="s">
        <v>34</v>
      </c>
      <c r="I39" s="16">
        <v>0.0</v>
      </c>
      <c r="J39" s="14" t="s">
        <v>30</v>
      </c>
      <c r="K39" s="16">
        <v>20.0</v>
      </c>
      <c r="L39" s="16">
        <v>10.0</v>
      </c>
      <c r="M39" s="16">
        <v>20.0</v>
      </c>
      <c r="N39" s="19">
        <f t="shared" si="1"/>
        <v>10</v>
      </c>
      <c r="O39" s="20">
        <f t="shared" si="2"/>
        <v>20</v>
      </c>
      <c r="P39" s="21" t="str">
        <f t="shared" si="3"/>
        <v>Com cupom</v>
      </c>
      <c r="Q39" s="23"/>
      <c r="R39" s="23"/>
      <c r="S39" s="23"/>
      <c r="T39" s="23"/>
    </row>
    <row r="40" ht="16.5" customHeight="1">
      <c r="A40" s="14">
        <v>3269.0</v>
      </c>
      <c r="B40" s="14" t="s">
        <v>74</v>
      </c>
      <c r="C40" s="14" t="s">
        <v>33</v>
      </c>
      <c r="D40" s="15">
        <v>45386.0</v>
      </c>
      <c r="E40" s="14" t="s">
        <v>34</v>
      </c>
      <c r="F40" s="16">
        <v>5.0</v>
      </c>
      <c r="G40" s="14" t="s">
        <v>38</v>
      </c>
      <c r="H40" s="14" t="s">
        <v>34</v>
      </c>
      <c r="I40" s="16">
        <v>0.0</v>
      </c>
      <c r="J40" s="14" t="s">
        <v>34</v>
      </c>
      <c r="K40" s="16">
        <v>0.0</v>
      </c>
      <c r="L40" s="16">
        <v>1.0</v>
      </c>
      <c r="M40" s="16">
        <v>4.0</v>
      </c>
      <c r="N40" s="19">
        <f t="shared" si="1"/>
        <v>5</v>
      </c>
      <c r="O40" s="20">
        <f t="shared" si="2"/>
        <v>0</v>
      </c>
      <c r="P40" s="21" t="str">
        <f t="shared" si="3"/>
        <v>Com cupom</v>
      </c>
      <c r="Q40" s="23"/>
      <c r="R40" s="23"/>
      <c r="S40" s="23"/>
      <c r="T40" s="23"/>
    </row>
    <row r="41" ht="16.5" customHeight="1">
      <c r="A41" s="14">
        <v>3270.0</v>
      </c>
      <c r="B41" s="14" t="s">
        <v>75</v>
      </c>
      <c r="C41" s="14" t="s">
        <v>29</v>
      </c>
      <c r="D41" s="15">
        <v>45387.0</v>
      </c>
      <c r="E41" s="14" t="s">
        <v>30</v>
      </c>
      <c r="F41" s="16">
        <v>15.0</v>
      </c>
      <c r="G41" s="14" t="s">
        <v>31</v>
      </c>
      <c r="H41" s="14" t="s">
        <v>30</v>
      </c>
      <c r="I41" s="16">
        <v>30.0</v>
      </c>
      <c r="J41" s="14" t="s">
        <v>30</v>
      </c>
      <c r="K41" s="16">
        <v>20.0</v>
      </c>
      <c r="L41" s="16">
        <v>15.0</v>
      </c>
      <c r="M41" s="16">
        <v>50.0</v>
      </c>
      <c r="N41" s="19">
        <f t="shared" si="1"/>
        <v>15</v>
      </c>
      <c r="O41" s="20">
        <f t="shared" si="2"/>
        <v>50</v>
      </c>
      <c r="P41" s="21" t="str">
        <f t="shared" si="3"/>
        <v>Com cupom</v>
      </c>
      <c r="Q41" s="23"/>
      <c r="R41" s="23"/>
      <c r="S41" s="23"/>
      <c r="T41" s="23"/>
    </row>
    <row r="42" ht="16.5" customHeight="1">
      <c r="A42" s="14">
        <v>3271.0</v>
      </c>
      <c r="B42" s="14" t="s">
        <v>76</v>
      </c>
      <c r="C42" s="14" t="s">
        <v>37</v>
      </c>
      <c r="D42" s="15">
        <v>45388.0</v>
      </c>
      <c r="E42" s="14" t="s">
        <v>34</v>
      </c>
      <c r="F42" s="16">
        <v>10.0</v>
      </c>
      <c r="G42" s="14" t="s">
        <v>31</v>
      </c>
      <c r="H42" s="14" t="s">
        <v>34</v>
      </c>
      <c r="I42" s="16">
        <v>0.0</v>
      </c>
      <c r="J42" s="14" t="s">
        <v>30</v>
      </c>
      <c r="K42" s="16">
        <v>20.0</v>
      </c>
      <c r="L42" s="16">
        <v>5.0</v>
      </c>
      <c r="M42" s="16">
        <v>25.0</v>
      </c>
      <c r="N42" s="19">
        <f t="shared" si="1"/>
        <v>10</v>
      </c>
      <c r="O42" s="20">
        <f t="shared" si="2"/>
        <v>20</v>
      </c>
      <c r="P42" s="21" t="str">
        <f t="shared" si="3"/>
        <v>Com cupom</v>
      </c>
      <c r="Q42" s="23"/>
      <c r="R42" s="23"/>
      <c r="S42" s="23"/>
      <c r="T42" s="23"/>
    </row>
    <row r="43" ht="16.5" customHeight="1">
      <c r="A43" s="14">
        <v>3272.0</v>
      </c>
      <c r="B43" s="14" t="s">
        <v>77</v>
      </c>
      <c r="C43" s="14" t="s">
        <v>33</v>
      </c>
      <c r="D43" s="15">
        <v>45389.0</v>
      </c>
      <c r="E43" s="14" t="s">
        <v>30</v>
      </c>
      <c r="F43" s="16">
        <v>5.0</v>
      </c>
      <c r="G43" s="14" t="s">
        <v>35</v>
      </c>
      <c r="H43" s="14" t="s">
        <v>34</v>
      </c>
      <c r="I43" s="16">
        <v>0.0</v>
      </c>
      <c r="J43" s="14" t="s">
        <v>34</v>
      </c>
      <c r="K43" s="16">
        <v>0.0</v>
      </c>
      <c r="L43" s="16">
        <v>0.0</v>
      </c>
      <c r="M43" s="16">
        <v>5.0</v>
      </c>
      <c r="N43" s="19">
        <f t="shared" si="1"/>
        <v>5</v>
      </c>
      <c r="O43" s="20">
        <f t="shared" si="2"/>
        <v>0</v>
      </c>
      <c r="P43" s="21" t="str">
        <f t="shared" si="3"/>
        <v>Sem cupom</v>
      </c>
      <c r="Q43" s="23"/>
      <c r="R43" s="23"/>
      <c r="S43" s="23"/>
      <c r="T43" s="23"/>
    </row>
    <row r="44" ht="16.5" customHeight="1">
      <c r="A44" s="14">
        <v>3273.0</v>
      </c>
      <c r="B44" s="14" t="s">
        <v>78</v>
      </c>
      <c r="C44" s="14" t="s">
        <v>29</v>
      </c>
      <c r="D44" s="15">
        <v>45390.0</v>
      </c>
      <c r="E44" s="14" t="s">
        <v>34</v>
      </c>
      <c r="F44" s="16">
        <v>15.0</v>
      </c>
      <c r="G44" s="14" t="s">
        <v>38</v>
      </c>
      <c r="H44" s="14" t="s">
        <v>30</v>
      </c>
      <c r="I44" s="16">
        <v>30.0</v>
      </c>
      <c r="J44" s="14" t="s">
        <v>30</v>
      </c>
      <c r="K44" s="16">
        <v>20.0</v>
      </c>
      <c r="L44" s="16">
        <v>20.0</v>
      </c>
      <c r="M44" s="16">
        <v>45.0</v>
      </c>
      <c r="N44" s="19">
        <f t="shared" si="1"/>
        <v>15</v>
      </c>
      <c r="O44" s="20">
        <f t="shared" si="2"/>
        <v>50</v>
      </c>
      <c r="P44" s="21" t="str">
        <f t="shared" si="3"/>
        <v>Com cupom</v>
      </c>
      <c r="Q44" s="23"/>
      <c r="R44" s="23"/>
      <c r="S44" s="23"/>
      <c r="T44" s="23"/>
    </row>
    <row r="45" ht="16.5" customHeight="1">
      <c r="A45" s="14">
        <v>3274.0</v>
      </c>
      <c r="B45" s="14" t="s">
        <v>79</v>
      </c>
      <c r="C45" s="14" t="s">
        <v>37</v>
      </c>
      <c r="D45" s="15">
        <v>45391.0</v>
      </c>
      <c r="E45" s="14" t="s">
        <v>30</v>
      </c>
      <c r="F45" s="16">
        <v>10.0</v>
      </c>
      <c r="G45" s="14" t="s">
        <v>38</v>
      </c>
      <c r="H45" s="14" t="s">
        <v>34</v>
      </c>
      <c r="I45" s="16">
        <v>0.0</v>
      </c>
      <c r="J45" s="14" t="s">
        <v>30</v>
      </c>
      <c r="K45" s="16">
        <v>20.0</v>
      </c>
      <c r="L45" s="16">
        <v>12.0</v>
      </c>
      <c r="M45" s="16">
        <v>18.0</v>
      </c>
      <c r="N45" s="19">
        <f t="shared" si="1"/>
        <v>10</v>
      </c>
      <c r="O45" s="20">
        <f t="shared" si="2"/>
        <v>20</v>
      </c>
      <c r="P45" s="21" t="str">
        <f t="shared" si="3"/>
        <v>Com cupom</v>
      </c>
      <c r="Q45" s="23"/>
      <c r="R45" s="23"/>
      <c r="S45" s="23"/>
      <c r="T45" s="23"/>
    </row>
    <row r="46" ht="16.5" customHeight="1">
      <c r="A46" s="14">
        <v>3275.0</v>
      </c>
      <c r="B46" s="14" t="s">
        <v>80</v>
      </c>
      <c r="C46" s="14" t="s">
        <v>33</v>
      </c>
      <c r="D46" s="15">
        <v>45392.0</v>
      </c>
      <c r="E46" s="14" t="s">
        <v>34</v>
      </c>
      <c r="F46" s="16">
        <v>5.0</v>
      </c>
      <c r="G46" s="14" t="s">
        <v>31</v>
      </c>
      <c r="H46" s="14" t="s">
        <v>34</v>
      </c>
      <c r="I46" s="16">
        <v>0.0</v>
      </c>
      <c r="J46" s="14" t="s">
        <v>34</v>
      </c>
      <c r="K46" s="16">
        <v>0.0</v>
      </c>
      <c r="L46" s="16">
        <v>2.0</v>
      </c>
      <c r="M46" s="16">
        <v>3.0</v>
      </c>
      <c r="N46" s="19">
        <f t="shared" si="1"/>
        <v>5</v>
      </c>
      <c r="O46" s="20">
        <f t="shared" si="2"/>
        <v>0</v>
      </c>
      <c r="P46" s="21" t="str">
        <f t="shared" si="3"/>
        <v>Com cupom</v>
      </c>
      <c r="Q46" s="23"/>
      <c r="R46" s="23"/>
      <c r="S46" s="23"/>
      <c r="T46" s="23"/>
    </row>
    <row r="47" ht="16.5" customHeight="1">
      <c r="A47" s="14">
        <v>3276.0</v>
      </c>
      <c r="B47" s="14" t="s">
        <v>81</v>
      </c>
      <c r="C47" s="14" t="s">
        <v>29</v>
      </c>
      <c r="D47" s="15">
        <v>45393.0</v>
      </c>
      <c r="E47" s="14" t="s">
        <v>30</v>
      </c>
      <c r="F47" s="16">
        <v>15.0</v>
      </c>
      <c r="G47" s="14" t="s">
        <v>35</v>
      </c>
      <c r="H47" s="14" t="s">
        <v>30</v>
      </c>
      <c r="I47" s="16">
        <v>30.0</v>
      </c>
      <c r="J47" s="14" t="s">
        <v>30</v>
      </c>
      <c r="K47" s="16">
        <v>20.0</v>
      </c>
      <c r="L47" s="16">
        <v>5.0</v>
      </c>
      <c r="M47" s="16">
        <v>60.0</v>
      </c>
      <c r="N47" s="19">
        <f t="shared" si="1"/>
        <v>15</v>
      </c>
      <c r="O47" s="20">
        <f t="shared" si="2"/>
        <v>50</v>
      </c>
      <c r="P47" s="21" t="str">
        <f t="shared" si="3"/>
        <v>Com cupom</v>
      </c>
      <c r="Q47" s="23"/>
      <c r="R47" s="23"/>
      <c r="S47" s="23"/>
      <c r="T47" s="23"/>
    </row>
    <row r="48" ht="16.5" customHeight="1">
      <c r="A48" s="14">
        <v>3277.0</v>
      </c>
      <c r="B48" s="14" t="s">
        <v>82</v>
      </c>
      <c r="C48" s="14" t="s">
        <v>37</v>
      </c>
      <c r="D48" s="15">
        <v>45394.0</v>
      </c>
      <c r="E48" s="14" t="s">
        <v>34</v>
      </c>
      <c r="F48" s="16">
        <v>10.0</v>
      </c>
      <c r="G48" s="14" t="s">
        <v>31</v>
      </c>
      <c r="H48" s="14" t="s">
        <v>34</v>
      </c>
      <c r="I48" s="16">
        <v>0.0</v>
      </c>
      <c r="J48" s="14" t="s">
        <v>30</v>
      </c>
      <c r="K48" s="16">
        <v>20.0</v>
      </c>
      <c r="L48" s="16">
        <v>10.0</v>
      </c>
      <c r="M48" s="16">
        <v>20.0</v>
      </c>
      <c r="N48" s="19">
        <f t="shared" si="1"/>
        <v>10</v>
      </c>
      <c r="O48" s="20">
        <f t="shared" si="2"/>
        <v>20</v>
      </c>
      <c r="P48" s="21" t="str">
        <f t="shared" si="3"/>
        <v>Com cupom</v>
      </c>
      <c r="Q48" s="23"/>
      <c r="R48" s="23"/>
      <c r="S48" s="23"/>
      <c r="T48" s="23"/>
    </row>
    <row r="49" ht="16.5" customHeight="1">
      <c r="A49" s="14">
        <v>3278.0</v>
      </c>
      <c r="B49" s="14" t="s">
        <v>83</v>
      </c>
      <c r="C49" s="14" t="s">
        <v>33</v>
      </c>
      <c r="D49" s="15">
        <v>45395.0</v>
      </c>
      <c r="E49" s="14" t="s">
        <v>30</v>
      </c>
      <c r="F49" s="16">
        <v>5.0</v>
      </c>
      <c r="G49" s="14" t="s">
        <v>38</v>
      </c>
      <c r="H49" s="14" t="s">
        <v>34</v>
      </c>
      <c r="I49" s="16">
        <v>0.0</v>
      </c>
      <c r="J49" s="14" t="s">
        <v>34</v>
      </c>
      <c r="K49" s="16">
        <v>0.0</v>
      </c>
      <c r="L49" s="16">
        <v>0.0</v>
      </c>
      <c r="M49" s="16">
        <v>5.0</v>
      </c>
      <c r="N49" s="19">
        <f t="shared" si="1"/>
        <v>5</v>
      </c>
      <c r="O49" s="20">
        <f t="shared" si="2"/>
        <v>0</v>
      </c>
      <c r="P49" s="21" t="str">
        <f t="shared" si="3"/>
        <v>Sem cupom</v>
      </c>
      <c r="Q49" s="23"/>
      <c r="R49" s="23"/>
      <c r="S49" s="23"/>
      <c r="T49" s="23"/>
    </row>
    <row r="50" ht="16.5" customHeight="1">
      <c r="A50" s="14">
        <v>3279.0</v>
      </c>
      <c r="B50" s="14" t="s">
        <v>84</v>
      </c>
      <c r="C50" s="14" t="s">
        <v>29</v>
      </c>
      <c r="D50" s="15">
        <v>45396.0</v>
      </c>
      <c r="E50" s="14" t="s">
        <v>34</v>
      </c>
      <c r="F50" s="16">
        <v>15.0</v>
      </c>
      <c r="G50" s="14" t="s">
        <v>31</v>
      </c>
      <c r="H50" s="14" t="s">
        <v>30</v>
      </c>
      <c r="I50" s="16">
        <v>30.0</v>
      </c>
      <c r="J50" s="14" t="s">
        <v>30</v>
      </c>
      <c r="K50" s="16">
        <v>20.0</v>
      </c>
      <c r="L50" s="16">
        <v>3.0</v>
      </c>
      <c r="M50" s="16">
        <v>62.0</v>
      </c>
      <c r="N50" s="19">
        <f t="shared" si="1"/>
        <v>15</v>
      </c>
      <c r="O50" s="20">
        <f t="shared" si="2"/>
        <v>50</v>
      </c>
      <c r="P50" s="21" t="str">
        <f t="shared" si="3"/>
        <v>Com cupom</v>
      </c>
      <c r="Q50" s="23"/>
      <c r="R50" s="23"/>
      <c r="S50" s="23"/>
      <c r="T50" s="23"/>
    </row>
    <row r="51" ht="16.5" customHeight="1">
      <c r="A51" s="14">
        <v>3280.0</v>
      </c>
      <c r="B51" s="14" t="s">
        <v>85</v>
      </c>
      <c r="C51" s="14" t="s">
        <v>37</v>
      </c>
      <c r="D51" s="15">
        <v>45397.0</v>
      </c>
      <c r="E51" s="14" t="s">
        <v>30</v>
      </c>
      <c r="F51" s="16">
        <v>10.0</v>
      </c>
      <c r="G51" s="14" t="s">
        <v>35</v>
      </c>
      <c r="H51" s="14" t="s">
        <v>34</v>
      </c>
      <c r="I51" s="16">
        <v>0.0</v>
      </c>
      <c r="J51" s="14" t="s">
        <v>30</v>
      </c>
      <c r="K51" s="16">
        <v>20.0</v>
      </c>
      <c r="L51" s="16">
        <v>15.0</v>
      </c>
      <c r="M51" s="16">
        <v>15.0</v>
      </c>
      <c r="N51" s="19">
        <f t="shared" si="1"/>
        <v>10</v>
      </c>
      <c r="O51" s="20">
        <f t="shared" si="2"/>
        <v>20</v>
      </c>
      <c r="P51" s="21" t="str">
        <f t="shared" si="3"/>
        <v>Com cupom</v>
      </c>
      <c r="Q51" s="23"/>
      <c r="R51" s="23"/>
      <c r="S51" s="23"/>
      <c r="T51" s="23"/>
    </row>
    <row r="52" ht="16.5" customHeight="1">
      <c r="A52" s="14">
        <v>3281.0</v>
      </c>
      <c r="B52" s="14" t="s">
        <v>86</v>
      </c>
      <c r="C52" s="14" t="s">
        <v>33</v>
      </c>
      <c r="D52" s="15">
        <v>45398.0</v>
      </c>
      <c r="E52" s="14" t="s">
        <v>34</v>
      </c>
      <c r="F52" s="16">
        <v>5.0</v>
      </c>
      <c r="G52" s="14" t="s">
        <v>31</v>
      </c>
      <c r="H52" s="14" t="s">
        <v>34</v>
      </c>
      <c r="I52" s="16">
        <v>0.0</v>
      </c>
      <c r="J52" s="14" t="s">
        <v>34</v>
      </c>
      <c r="K52" s="16">
        <v>0.0</v>
      </c>
      <c r="L52" s="16">
        <v>1.0</v>
      </c>
      <c r="M52" s="16">
        <v>4.0</v>
      </c>
      <c r="N52" s="19">
        <f t="shared" si="1"/>
        <v>5</v>
      </c>
      <c r="O52" s="20">
        <f t="shared" si="2"/>
        <v>0</v>
      </c>
      <c r="P52" s="21" t="str">
        <f t="shared" si="3"/>
        <v>Com cupom</v>
      </c>
      <c r="Q52" s="23"/>
      <c r="R52" s="23"/>
      <c r="S52" s="23"/>
      <c r="T52" s="23"/>
    </row>
    <row r="53" ht="16.5" customHeight="1">
      <c r="A53" s="14">
        <v>3282.0</v>
      </c>
      <c r="B53" s="14" t="s">
        <v>87</v>
      </c>
      <c r="C53" s="14" t="s">
        <v>29</v>
      </c>
      <c r="D53" s="15">
        <v>45399.0</v>
      </c>
      <c r="E53" s="14" t="s">
        <v>30</v>
      </c>
      <c r="F53" s="16">
        <v>15.0</v>
      </c>
      <c r="G53" s="14" t="s">
        <v>38</v>
      </c>
      <c r="H53" s="14" t="s">
        <v>30</v>
      </c>
      <c r="I53" s="16">
        <v>30.0</v>
      </c>
      <c r="J53" s="14" t="s">
        <v>30</v>
      </c>
      <c r="K53" s="16">
        <v>20.0</v>
      </c>
      <c r="L53" s="16">
        <v>7.0</v>
      </c>
      <c r="M53" s="16">
        <v>58.0</v>
      </c>
      <c r="N53" s="19">
        <f t="shared" si="1"/>
        <v>15</v>
      </c>
      <c r="O53" s="20">
        <f t="shared" si="2"/>
        <v>50</v>
      </c>
      <c r="P53" s="21" t="str">
        <f t="shared" si="3"/>
        <v>Com cupom</v>
      </c>
      <c r="Q53" s="23"/>
      <c r="R53" s="23"/>
      <c r="S53" s="23"/>
      <c r="T53" s="23"/>
    </row>
    <row r="54" ht="16.5" customHeight="1">
      <c r="A54" s="14">
        <v>3283.0</v>
      </c>
      <c r="B54" s="14" t="s">
        <v>88</v>
      </c>
      <c r="C54" s="14" t="s">
        <v>37</v>
      </c>
      <c r="D54" s="15">
        <v>45400.0</v>
      </c>
      <c r="E54" s="14" t="s">
        <v>34</v>
      </c>
      <c r="F54" s="16">
        <v>10.0</v>
      </c>
      <c r="G54" s="14" t="s">
        <v>31</v>
      </c>
      <c r="H54" s="14" t="s">
        <v>34</v>
      </c>
      <c r="I54" s="16">
        <v>0.0</v>
      </c>
      <c r="J54" s="14" t="s">
        <v>30</v>
      </c>
      <c r="K54" s="16">
        <v>20.0</v>
      </c>
      <c r="L54" s="16">
        <v>10.0</v>
      </c>
      <c r="M54" s="16">
        <v>20.0</v>
      </c>
      <c r="N54" s="19">
        <f t="shared" si="1"/>
        <v>10</v>
      </c>
      <c r="O54" s="20">
        <f t="shared" si="2"/>
        <v>20</v>
      </c>
      <c r="P54" s="21" t="str">
        <f t="shared" si="3"/>
        <v>Com cupom</v>
      </c>
      <c r="Q54" s="23"/>
      <c r="R54" s="23"/>
      <c r="S54" s="23"/>
      <c r="T54" s="23"/>
    </row>
    <row r="55" ht="16.5" customHeight="1">
      <c r="A55" s="14">
        <v>3284.0</v>
      </c>
      <c r="B55" s="14" t="s">
        <v>89</v>
      </c>
      <c r="C55" s="14" t="s">
        <v>33</v>
      </c>
      <c r="D55" s="15">
        <v>45401.0</v>
      </c>
      <c r="E55" s="14" t="s">
        <v>30</v>
      </c>
      <c r="F55" s="16">
        <v>5.0</v>
      </c>
      <c r="G55" s="14" t="s">
        <v>35</v>
      </c>
      <c r="H55" s="14" t="s">
        <v>34</v>
      </c>
      <c r="I55" s="16">
        <v>0.0</v>
      </c>
      <c r="J55" s="14" t="s">
        <v>34</v>
      </c>
      <c r="K55" s="16">
        <v>0.0</v>
      </c>
      <c r="L55" s="16">
        <v>0.0</v>
      </c>
      <c r="M55" s="16">
        <v>5.0</v>
      </c>
      <c r="N55" s="19">
        <f t="shared" si="1"/>
        <v>5</v>
      </c>
      <c r="O55" s="20">
        <f t="shared" si="2"/>
        <v>0</v>
      </c>
      <c r="P55" s="21" t="str">
        <f t="shared" si="3"/>
        <v>Sem cupom</v>
      </c>
      <c r="Q55" s="23"/>
      <c r="R55" s="23"/>
      <c r="S55" s="23"/>
      <c r="T55" s="23"/>
    </row>
    <row r="56" ht="16.5" customHeight="1">
      <c r="A56" s="14">
        <v>3285.0</v>
      </c>
      <c r="B56" s="14" t="s">
        <v>90</v>
      </c>
      <c r="C56" s="14" t="s">
        <v>29</v>
      </c>
      <c r="D56" s="15">
        <v>45402.0</v>
      </c>
      <c r="E56" s="14" t="s">
        <v>34</v>
      </c>
      <c r="F56" s="16">
        <v>15.0</v>
      </c>
      <c r="G56" s="14" t="s">
        <v>31</v>
      </c>
      <c r="H56" s="14" t="s">
        <v>30</v>
      </c>
      <c r="I56" s="16">
        <v>30.0</v>
      </c>
      <c r="J56" s="14" t="s">
        <v>30</v>
      </c>
      <c r="K56" s="16">
        <v>20.0</v>
      </c>
      <c r="L56" s="16">
        <v>20.0</v>
      </c>
      <c r="M56" s="16">
        <v>45.0</v>
      </c>
      <c r="N56" s="19">
        <f t="shared" si="1"/>
        <v>15</v>
      </c>
      <c r="O56" s="20">
        <f t="shared" si="2"/>
        <v>50</v>
      </c>
      <c r="P56" s="21" t="str">
        <f t="shared" si="3"/>
        <v>Com cupom</v>
      </c>
      <c r="Q56" s="23"/>
      <c r="R56" s="23"/>
      <c r="S56" s="23"/>
      <c r="T56" s="23"/>
    </row>
    <row r="57" ht="16.5" customHeight="1">
      <c r="A57" s="14">
        <v>3286.0</v>
      </c>
      <c r="B57" s="14" t="s">
        <v>91</v>
      </c>
      <c r="C57" s="14" t="s">
        <v>37</v>
      </c>
      <c r="D57" s="15">
        <v>45403.0</v>
      </c>
      <c r="E57" s="14" t="s">
        <v>30</v>
      </c>
      <c r="F57" s="16">
        <v>10.0</v>
      </c>
      <c r="G57" s="14" t="s">
        <v>38</v>
      </c>
      <c r="H57" s="14" t="s">
        <v>34</v>
      </c>
      <c r="I57" s="16">
        <v>0.0</v>
      </c>
      <c r="J57" s="14" t="s">
        <v>30</v>
      </c>
      <c r="K57" s="16">
        <v>20.0</v>
      </c>
      <c r="L57" s="16">
        <v>15.0</v>
      </c>
      <c r="M57" s="16">
        <v>15.0</v>
      </c>
      <c r="N57" s="19">
        <f t="shared" si="1"/>
        <v>10</v>
      </c>
      <c r="O57" s="20">
        <f t="shared" si="2"/>
        <v>20</v>
      </c>
      <c r="P57" s="21" t="str">
        <f t="shared" si="3"/>
        <v>Com cupom</v>
      </c>
      <c r="Q57" s="23"/>
      <c r="R57" s="23"/>
      <c r="S57" s="23"/>
      <c r="T57" s="23"/>
    </row>
    <row r="58" ht="16.5" customHeight="1">
      <c r="A58" s="14">
        <v>3287.0</v>
      </c>
      <c r="B58" s="14" t="s">
        <v>92</v>
      </c>
      <c r="C58" s="14" t="s">
        <v>33</v>
      </c>
      <c r="D58" s="15">
        <v>45404.0</v>
      </c>
      <c r="E58" s="14" t="s">
        <v>34</v>
      </c>
      <c r="F58" s="16">
        <v>5.0</v>
      </c>
      <c r="G58" s="14" t="s">
        <v>31</v>
      </c>
      <c r="H58" s="14" t="s">
        <v>34</v>
      </c>
      <c r="I58" s="16">
        <v>0.0</v>
      </c>
      <c r="J58" s="14" t="s">
        <v>34</v>
      </c>
      <c r="K58" s="16">
        <v>0.0</v>
      </c>
      <c r="L58" s="16">
        <v>1.0</v>
      </c>
      <c r="M58" s="16">
        <v>4.0</v>
      </c>
      <c r="N58" s="19">
        <f t="shared" si="1"/>
        <v>5</v>
      </c>
      <c r="O58" s="20">
        <f t="shared" si="2"/>
        <v>0</v>
      </c>
      <c r="P58" s="21" t="str">
        <f t="shared" si="3"/>
        <v>Com cupom</v>
      </c>
      <c r="Q58" s="23"/>
      <c r="R58" s="23"/>
      <c r="S58" s="23"/>
      <c r="T58" s="23"/>
    </row>
    <row r="59" ht="16.5" customHeight="1">
      <c r="A59" s="14">
        <v>3288.0</v>
      </c>
      <c r="B59" s="14" t="s">
        <v>93</v>
      </c>
      <c r="C59" s="14" t="s">
        <v>29</v>
      </c>
      <c r="D59" s="15">
        <v>45405.0</v>
      </c>
      <c r="E59" s="14" t="s">
        <v>30</v>
      </c>
      <c r="F59" s="16">
        <v>15.0</v>
      </c>
      <c r="G59" s="14" t="s">
        <v>35</v>
      </c>
      <c r="H59" s="14" t="s">
        <v>30</v>
      </c>
      <c r="I59" s="16">
        <v>30.0</v>
      </c>
      <c r="J59" s="14" t="s">
        <v>30</v>
      </c>
      <c r="K59" s="16">
        <v>20.0</v>
      </c>
      <c r="L59" s="16">
        <v>3.0</v>
      </c>
      <c r="M59" s="16">
        <v>62.0</v>
      </c>
      <c r="N59" s="19">
        <f t="shared" si="1"/>
        <v>15</v>
      </c>
      <c r="O59" s="20">
        <f t="shared" si="2"/>
        <v>50</v>
      </c>
      <c r="P59" s="21" t="str">
        <f t="shared" si="3"/>
        <v>Com cupom</v>
      </c>
      <c r="Q59" s="23"/>
      <c r="R59" s="23"/>
      <c r="S59" s="23"/>
      <c r="T59" s="23"/>
    </row>
    <row r="60" ht="16.5" customHeight="1">
      <c r="A60" s="14">
        <v>3289.0</v>
      </c>
      <c r="B60" s="14" t="s">
        <v>94</v>
      </c>
      <c r="C60" s="14" t="s">
        <v>37</v>
      </c>
      <c r="D60" s="15">
        <v>45406.0</v>
      </c>
      <c r="E60" s="14" t="s">
        <v>34</v>
      </c>
      <c r="F60" s="16">
        <v>10.0</v>
      </c>
      <c r="G60" s="14" t="s">
        <v>31</v>
      </c>
      <c r="H60" s="14" t="s">
        <v>34</v>
      </c>
      <c r="I60" s="16">
        <v>0.0</v>
      </c>
      <c r="J60" s="14" t="s">
        <v>30</v>
      </c>
      <c r="K60" s="16">
        <v>20.0</v>
      </c>
      <c r="L60" s="16">
        <v>10.0</v>
      </c>
      <c r="M60" s="16">
        <v>20.0</v>
      </c>
      <c r="N60" s="19">
        <f t="shared" si="1"/>
        <v>10</v>
      </c>
      <c r="O60" s="20">
        <f t="shared" si="2"/>
        <v>20</v>
      </c>
      <c r="P60" s="21" t="str">
        <f t="shared" si="3"/>
        <v>Com cupom</v>
      </c>
      <c r="Q60" s="23"/>
      <c r="R60" s="23"/>
      <c r="S60" s="23"/>
      <c r="T60" s="23"/>
    </row>
    <row r="61" ht="16.5" customHeight="1">
      <c r="A61" s="14">
        <v>3290.0</v>
      </c>
      <c r="B61" s="14" t="s">
        <v>95</v>
      </c>
      <c r="C61" s="14" t="s">
        <v>33</v>
      </c>
      <c r="D61" s="15">
        <v>45407.0</v>
      </c>
      <c r="E61" s="14" t="s">
        <v>30</v>
      </c>
      <c r="F61" s="16">
        <v>5.0</v>
      </c>
      <c r="G61" s="14" t="s">
        <v>38</v>
      </c>
      <c r="H61" s="14" t="s">
        <v>34</v>
      </c>
      <c r="I61" s="16">
        <v>0.0</v>
      </c>
      <c r="J61" s="14" t="s">
        <v>34</v>
      </c>
      <c r="K61" s="16">
        <v>0.0</v>
      </c>
      <c r="L61" s="16">
        <v>0.0</v>
      </c>
      <c r="M61" s="16">
        <v>5.0</v>
      </c>
      <c r="N61" s="19">
        <f t="shared" si="1"/>
        <v>5</v>
      </c>
      <c r="O61" s="20">
        <f t="shared" si="2"/>
        <v>0</v>
      </c>
      <c r="P61" s="21" t="str">
        <f t="shared" si="3"/>
        <v>Sem cupom</v>
      </c>
      <c r="Q61" s="23"/>
      <c r="R61" s="23"/>
      <c r="S61" s="23"/>
      <c r="T61" s="23"/>
    </row>
    <row r="62" ht="16.5" customHeight="1">
      <c r="A62" s="14">
        <v>3291.0</v>
      </c>
      <c r="B62" s="14" t="s">
        <v>96</v>
      </c>
      <c r="C62" s="14" t="s">
        <v>29</v>
      </c>
      <c r="D62" s="15">
        <v>45408.0</v>
      </c>
      <c r="E62" s="14" t="s">
        <v>34</v>
      </c>
      <c r="F62" s="16">
        <v>15.0</v>
      </c>
      <c r="G62" s="14" t="s">
        <v>31</v>
      </c>
      <c r="H62" s="14" t="s">
        <v>30</v>
      </c>
      <c r="I62" s="16">
        <v>30.0</v>
      </c>
      <c r="J62" s="14" t="s">
        <v>30</v>
      </c>
      <c r="K62" s="16">
        <v>20.0</v>
      </c>
      <c r="L62" s="16">
        <v>5.0</v>
      </c>
      <c r="M62" s="16">
        <v>60.0</v>
      </c>
      <c r="N62" s="19">
        <f t="shared" si="1"/>
        <v>15</v>
      </c>
      <c r="O62" s="20">
        <f t="shared" si="2"/>
        <v>50</v>
      </c>
      <c r="P62" s="21" t="str">
        <f t="shared" si="3"/>
        <v>Com cupom</v>
      </c>
      <c r="Q62" s="23"/>
      <c r="R62" s="23"/>
      <c r="S62" s="23"/>
      <c r="T62" s="23"/>
    </row>
    <row r="63" ht="16.5" customHeight="1">
      <c r="A63" s="14">
        <v>3292.0</v>
      </c>
      <c r="B63" s="14" t="s">
        <v>97</v>
      </c>
      <c r="C63" s="14" t="s">
        <v>37</v>
      </c>
      <c r="D63" s="15">
        <v>45409.0</v>
      </c>
      <c r="E63" s="14" t="s">
        <v>30</v>
      </c>
      <c r="F63" s="16">
        <v>10.0</v>
      </c>
      <c r="G63" s="14" t="s">
        <v>35</v>
      </c>
      <c r="H63" s="14" t="s">
        <v>34</v>
      </c>
      <c r="I63" s="16">
        <v>0.0</v>
      </c>
      <c r="J63" s="14" t="s">
        <v>30</v>
      </c>
      <c r="K63" s="16">
        <v>20.0</v>
      </c>
      <c r="L63" s="16">
        <v>15.0</v>
      </c>
      <c r="M63" s="16">
        <v>15.0</v>
      </c>
      <c r="N63" s="19">
        <f t="shared" si="1"/>
        <v>10</v>
      </c>
      <c r="O63" s="20">
        <f t="shared" si="2"/>
        <v>20</v>
      </c>
      <c r="P63" s="21" t="str">
        <f t="shared" si="3"/>
        <v>Com cupom</v>
      </c>
      <c r="Q63" s="23"/>
      <c r="R63" s="23"/>
      <c r="S63" s="23"/>
      <c r="T63" s="23"/>
    </row>
    <row r="64" ht="16.5" customHeight="1">
      <c r="A64" s="14">
        <v>3293.0</v>
      </c>
      <c r="B64" s="14" t="s">
        <v>98</v>
      </c>
      <c r="C64" s="14" t="s">
        <v>33</v>
      </c>
      <c r="D64" s="15">
        <v>45410.0</v>
      </c>
      <c r="E64" s="14" t="s">
        <v>34</v>
      </c>
      <c r="F64" s="16">
        <v>5.0</v>
      </c>
      <c r="G64" s="14" t="s">
        <v>31</v>
      </c>
      <c r="H64" s="14" t="s">
        <v>34</v>
      </c>
      <c r="I64" s="16">
        <v>0.0</v>
      </c>
      <c r="J64" s="14" t="s">
        <v>34</v>
      </c>
      <c r="K64" s="16">
        <v>0.0</v>
      </c>
      <c r="L64" s="16">
        <v>1.0</v>
      </c>
      <c r="M64" s="16">
        <v>4.0</v>
      </c>
      <c r="N64" s="19">
        <f t="shared" si="1"/>
        <v>5</v>
      </c>
      <c r="O64" s="20">
        <f t="shared" si="2"/>
        <v>0</v>
      </c>
      <c r="P64" s="21" t="str">
        <f t="shared" si="3"/>
        <v>Com cupom</v>
      </c>
      <c r="Q64" s="23"/>
      <c r="R64" s="23"/>
      <c r="S64" s="23"/>
      <c r="T64" s="23"/>
    </row>
    <row r="65" ht="16.5" customHeight="1">
      <c r="A65" s="14">
        <v>3294.0</v>
      </c>
      <c r="B65" s="14" t="s">
        <v>99</v>
      </c>
      <c r="C65" s="14" t="s">
        <v>29</v>
      </c>
      <c r="D65" s="15">
        <v>45411.0</v>
      </c>
      <c r="E65" s="14" t="s">
        <v>30</v>
      </c>
      <c r="F65" s="16">
        <v>15.0</v>
      </c>
      <c r="G65" s="14" t="s">
        <v>38</v>
      </c>
      <c r="H65" s="14" t="s">
        <v>30</v>
      </c>
      <c r="I65" s="16">
        <v>30.0</v>
      </c>
      <c r="J65" s="14" t="s">
        <v>30</v>
      </c>
      <c r="K65" s="16">
        <v>20.0</v>
      </c>
      <c r="L65" s="16">
        <v>20.0</v>
      </c>
      <c r="M65" s="16">
        <v>45.0</v>
      </c>
      <c r="N65" s="19">
        <f t="shared" si="1"/>
        <v>15</v>
      </c>
      <c r="O65" s="20">
        <f t="shared" si="2"/>
        <v>50</v>
      </c>
      <c r="P65" s="21" t="str">
        <f t="shared" si="3"/>
        <v>Com cupom</v>
      </c>
      <c r="Q65" s="23"/>
      <c r="R65" s="23"/>
      <c r="S65" s="23"/>
      <c r="T65" s="23"/>
    </row>
    <row r="66" ht="16.5" customHeight="1">
      <c r="A66" s="14">
        <v>3295.0</v>
      </c>
      <c r="B66" s="14" t="s">
        <v>100</v>
      </c>
      <c r="C66" s="14" t="s">
        <v>37</v>
      </c>
      <c r="D66" s="15">
        <v>45412.0</v>
      </c>
      <c r="E66" s="14" t="s">
        <v>34</v>
      </c>
      <c r="F66" s="16">
        <v>10.0</v>
      </c>
      <c r="G66" s="14" t="s">
        <v>31</v>
      </c>
      <c r="H66" s="14" t="s">
        <v>34</v>
      </c>
      <c r="I66" s="16">
        <v>0.0</v>
      </c>
      <c r="J66" s="14" t="s">
        <v>30</v>
      </c>
      <c r="K66" s="16">
        <v>20.0</v>
      </c>
      <c r="L66" s="16">
        <v>5.0</v>
      </c>
      <c r="M66" s="16">
        <v>25.0</v>
      </c>
      <c r="N66" s="19">
        <f t="shared" si="1"/>
        <v>10</v>
      </c>
      <c r="O66" s="20">
        <f t="shared" si="2"/>
        <v>20</v>
      </c>
      <c r="P66" s="21" t="str">
        <f t="shared" si="3"/>
        <v>Com cupom</v>
      </c>
      <c r="Q66" s="23"/>
      <c r="R66" s="23"/>
      <c r="S66" s="23"/>
      <c r="T66" s="23"/>
    </row>
    <row r="67" ht="16.5" customHeight="1">
      <c r="A67" s="14">
        <v>3296.0</v>
      </c>
      <c r="B67" s="14" t="s">
        <v>101</v>
      </c>
      <c r="C67" s="14" t="s">
        <v>33</v>
      </c>
      <c r="D67" s="15">
        <v>45413.0</v>
      </c>
      <c r="E67" s="14" t="s">
        <v>34</v>
      </c>
      <c r="F67" s="16">
        <v>5.0</v>
      </c>
      <c r="G67" s="14" t="s">
        <v>31</v>
      </c>
      <c r="H67" s="14" t="s">
        <v>34</v>
      </c>
      <c r="I67" s="16">
        <v>0.0</v>
      </c>
      <c r="J67" s="14" t="s">
        <v>34</v>
      </c>
      <c r="K67" s="16">
        <v>0.0</v>
      </c>
      <c r="L67" s="16">
        <v>0.0</v>
      </c>
      <c r="M67" s="16">
        <v>5.0</v>
      </c>
      <c r="N67" s="19">
        <f t="shared" si="1"/>
        <v>5</v>
      </c>
      <c r="O67" s="20">
        <f t="shared" si="2"/>
        <v>0</v>
      </c>
      <c r="P67" s="21" t="str">
        <f t="shared" si="3"/>
        <v>Sem cupom</v>
      </c>
      <c r="Q67" s="23"/>
      <c r="R67" s="23"/>
      <c r="S67" s="23"/>
      <c r="T67" s="23"/>
    </row>
    <row r="68" ht="16.5" customHeight="1">
      <c r="A68" s="14">
        <v>3297.0</v>
      </c>
      <c r="B68" s="14" t="s">
        <v>102</v>
      </c>
      <c r="C68" s="14" t="s">
        <v>29</v>
      </c>
      <c r="D68" s="15">
        <v>45414.0</v>
      </c>
      <c r="E68" s="14" t="s">
        <v>30</v>
      </c>
      <c r="F68" s="16">
        <v>15.0</v>
      </c>
      <c r="G68" s="14" t="s">
        <v>38</v>
      </c>
      <c r="H68" s="14" t="s">
        <v>30</v>
      </c>
      <c r="I68" s="16">
        <v>30.0</v>
      </c>
      <c r="J68" s="14" t="s">
        <v>30</v>
      </c>
      <c r="K68" s="16">
        <v>20.0</v>
      </c>
      <c r="L68" s="16">
        <v>7.0</v>
      </c>
      <c r="M68" s="16">
        <v>58.0</v>
      </c>
      <c r="N68" s="19">
        <f t="shared" si="1"/>
        <v>15</v>
      </c>
      <c r="O68" s="20">
        <f t="shared" si="2"/>
        <v>50</v>
      </c>
      <c r="P68" s="21" t="str">
        <f t="shared" si="3"/>
        <v>Com cupom</v>
      </c>
      <c r="Q68" s="23"/>
      <c r="R68" s="23"/>
      <c r="S68" s="23"/>
      <c r="T68" s="23"/>
    </row>
    <row r="69" ht="16.5" customHeight="1">
      <c r="A69" s="14">
        <v>3298.0</v>
      </c>
      <c r="B69" s="14" t="s">
        <v>103</v>
      </c>
      <c r="C69" s="14" t="s">
        <v>37</v>
      </c>
      <c r="D69" s="15">
        <v>45415.0</v>
      </c>
      <c r="E69" s="14" t="s">
        <v>34</v>
      </c>
      <c r="F69" s="16">
        <v>10.0</v>
      </c>
      <c r="G69" s="14" t="s">
        <v>35</v>
      </c>
      <c r="H69" s="14" t="s">
        <v>34</v>
      </c>
      <c r="I69" s="16">
        <v>0.0</v>
      </c>
      <c r="J69" s="14" t="s">
        <v>30</v>
      </c>
      <c r="K69" s="16">
        <v>20.0</v>
      </c>
      <c r="L69" s="16">
        <v>10.0</v>
      </c>
      <c r="M69" s="16">
        <v>20.0</v>
      </c>
      <c r="N69" s="19">
        <f t="shared" si="1"/>
        <v>10</v>
      </c>
      <c r="O69" s="20">
        <f t="shared" si="2"/>
        <v>20</v>
      </c>
      <c r="P69" s="21" t="str">
        <f t="shared" si="3"/>
        <v>Com cupom</v>
      </c>
      <c r="Q69" s="23"/>
      <c r="R69" s="23"/>
      <c r="S69" s="23"/>
      <c r="T69" s="23"/>
    </row>
    <row r="70" ht="16.5" customHeight="1">
      <c r="A70" s="14">
        <v>3299.0</v>
      </c>
      <c r="B70" s="14" t="s">
        <v>104</v>
      </c>
      <c r="C70" s="14" t="s">
        <v>33</v>
      </c>
      <c r="D70" s="15">
        <v>45416.0</v>
      </c>
      <c r="E70" s="14" t="s">
        <v>30</v>
      </c>
      <c r="F70" s="16">
        <v>5.0</v>
      </c>
      <c r="G70" s="14" t="s">
        <v>38</v>
      </c>
      <c r="H70" s="14" t="s">
        <v>34</v>
      </c>
      <c r="I70" s="16">
        <v>0.0</v>
      </c>
      <c r="J70" s="14" t="s">
        <v>34</v>
      </c>
      <c r="K70" s="16">
        <v>0.0</v>
      </c>
      <c r="L70" s="16">
        <v>1.0</v>
      </c>
      <c r="M70" s="16">
        <v>4.0</v>
      </c>
      <c r="N70" s="19">
        <f t="shared" si="1"/>
        <v>5</v>
      </c>
      <c r="O70" s="20">
        <f t="shared" si="2"/>
        <v>0</v>
      </c>
      <c r="P70" s="21" t="str">
        <f t="shared" si="3"/>
        <v>Com cupom</v>
      </c>
      <c r="Q70" s="23"/>
      <c r="R70" s="23"/>
      <c r="S70" s="23"/>
      <c r="T70" s="23"/>
    </row>
    <row r="71" ht="16.5" customHeight="1">
      <c r="A71" s="14">
        <v>3300.0</v>
      </c>
      <c r="B71" s="14" t="s">
        <v>105</v>
      </c>
      <c r="C71" s="14" t="s">
        <v>29</v>
      </c>
      <c r="D71" s="15">
        <v>45417.0</v>
      </c>
      <c r="E71" s="14" t="s">
        <v>34</v>
      </c>
      <c r="F71" s="16">
        <v>15.0</v>
      </c>
      <c r="G71" s="14" t="s">
        <v>31</v>
      </c>
      <c r="H71" s="14" t="s">
        <v>30</v>
      </c>
      <c r="I71" s="16">
        <v>30.0</v>
      </c>
      <c r="J71" s="14" t="s">
        <v>30</v>
      </c>
      <c r="K71" s="16">
        <v>20.0</v>
      </c>
      <c r="L71" s="16">
        <v>15.0</v>
      </c>
      <c r="M71" s="16">
        <v>50.0</v>
      </c>
      <c r="N71" s="19">
        <f t="shared" si="1"/>
        <v>15</v>
      </c>
      <c r="O71" s="20">
        <f t="shared" si="2"/>
        <v>50</v>
      </c>
      <c r="P71" s="21" t="str">
        <f t="shared" si="3"/>
        <v>Com cupom</v>
      </c>
      <c r="Q71" s="23"/>
      <c r="R71" s="23"/>
      <c r="S71" s="23"/>
      <c r="T71" s="23"/>
    </row>
    <row r="72" ht="16.5" customHeight="1">
      <c r="A72" s="14">
        <v>3301.0</v>
      </c>
      <c r="B72" s="14" t="s">
        <v>106</v>
      </c>
      <c r="C72" s="14" t="s">
        <v>37</v>
      </c>
      <c r="D72" s="15">
        <v>45418.0</v>
      </c>
      <c r="E72" s="14" t="s">
        <v>30</v>
      </c>
      <c r="F72" s="16">
        <v>10.0</v>
      </c>
      <c r="G72" s="14" t="s">
        <v>31</v>
      </c>
      <c r="H72" s="14" t="s">
        <v>34</v>
      </c>
      <c r="I72" s="16">
        <v>0.0</v>
      </c>
      <c r="J72" s="14" t="s">
        <v>30</v>
      </c>
      <c r="K72" s="16">
        <v>20.0</v>
      </c>
      <c r="L72" s="16">
        <v>5.0</v>
      </c>
      <c r="M72" s="16">
        <v>25.0</v>
      </c>
      <c r="N72" s="19">
        <f t="shared" si="1"/>
        <v>10</v>
      </c>
      <c r="O72" s="20">
        <f t="shared" si="2"/>
        <v>20</v>
      </c>
      <c r="P72" s="21" t="str">
        <f t="shared" si="3"/>
        <v>Com cupom</v>
      </c>
      <c r="Q72" s="23"/>
      <c r="R72" s="23"/>
      <c r="S72" s="23"/>
      <c r="T72" s="23"/>
    </row>
    <row r="73" ht="16.5" customHeight="1">
      <c r="A73" s="14">
        <v>3302.0</v>
      </c>
      <c r="B73" s="14" t="s">
        <v>107</v>
      </c>
      <c r="C73" s="14" t="s">
        <v>33</v>
      </c>
      <c r="D73" s="15">
        <v>45419.0</v>
      </c>
      <c r="E73" s="14" t="s">
        <v>34</v>
      </c>
      <c r="F73" s="16">
        <v>5.0</v>
      </c>
      <c r="G73" s="14" t="s">
        <v>35</v>
      </c>
      <c r="H73" s="14" t="s">
        <v>34</v>
      </c>
      <c r="I73" s="16">
        <v>0.0</v>
      </c>
      <c r="J73" s="14" t="s">
        <v>34</v>
      </c>
      <c r="K73" s="16">
        <v>0.0</v>
      </c>
      <c r="L73" s="16">
        <v>0.0</v>
      </c>
      <c r="M73" s="16">
        <v>5.0</v>
      </c>
      <c r="N73" s="19">
        <f t="shared" si="1"/>
        <v>5</v>
      </c>
      <c r="O73" s="20">
        <f t="shared" si="2"/>
        <v>0</v>
      </c>
      <c r="P73" s="21" t="str">
        <f t="shared" si="3"/>
        <v>Sem cupom</v>
      </c>
      <c r="Q73" s="23"/>
      <c r="R73" s="23"/>
      <c r="S73" s="23"/>
      <c r="T73" s="23"/>
    </row>
    <row r="74" ht="16.5" customHeight="1">
      <c r="A74" s="14">
        <v>3303.0</v>
      </c>
      <c r="B74" s="14" t="s">
        <v>108</v>
      </c>
      <c r="C74" s="14" t="s">
        <v>29</v>
      </c>
      <c r="D74" s="15">
        <v>45420.0</v>
      </c>
      <c r="E74" s="14" t="s">
        <v>30</v>
      </c>
      <c r="F74" s="16">
        <v>15.0</v>
      </c>
      <c r="G74" s="14" t="s">
        <v>38</v>
      </c>
      <c r="H74" s="14" t="s">
        <v>30</v>
      </c>
      <c r="I74" s="16">
        <v>30.0</v>
      </c>
      <c r="J74" s="14" t="s">
        <v>30</v>
      </c>
      <c r="K74" s="16">
        <v>20.0</v>
      </c>
      <c r="L74" s="16">
        <v>20.0</v>
      </c>
      <c r="M74" s="16">
        <v>45.0</v>
      </c>
      <c r="N74" s="19">
        <f t="shared" si="1"/>
        <v>15</v>
      </c>
      <c r="O74" s="20">
        <f t="shared" si="2"/>
        <v>50</v>
      </c>
      <c r="P74" s="21" t="str">
        <f t="shared" si="3"/>
        <v>Com cupom</v>
      </c>
      <c r="Q74" s="23"/>
      <c r="R74" s="23"/>
      <c r="S74" s="23"/>
      <c r="T74" s="23"/>
    </row>
    <row r="75" ht="16.5" customHeight="1">
      <c r="A75" s="14">
        <v>3304.0</v>
      </c>
      <c r="B75" s="14" t="s">
        <v>109</v>
      </c>
      <c r="C75" s="14" t="s">
        <v>37</v>
      </c>
      <c r="D75" s="15">
        <v>45421.0</v>
      </c>
      <c r="E75" s="14" t="s">
        <v>34</v>
      </c>
      <c r="F75" s="16">
        <v>10.0</v>
      </c>
      <c r="G75" s="14" t="s">
        <v>38</v>
      </c>
      <c r="H75" s="14" t="s">
        <v>34</v>
      </c>
      <c r="I75" s="16">
        <v>0.0</v>
      </c>
      <c r="J75" s="14" t="s">
        <v>30</v>
      </c>
      <c r="K75" s="16">
        <v>20.0</v>
      </c>
      <c r="L75" s="16">
        <v>12.0</v>
      </c>
      <c r="M75" s="16">
        <v>18.0</v>
      </c>
      <c r="N75" s="19">
        <f t="shared" si="1"/>
        <v>10</v>
      </c>
      <c r="O75" s="20">
        <f t="shared" si="2"/>
        <v>20</v>
      </c>
      <c r="P75" s="21" t="str">
        <f t="shared" si="3"/>
        <v>Com cupom</v>
      </c>
      <c r="Q75" s="23"/>
      <c r="R75" s="23"/>
      <c r="S75" s="23"/>
      <c r="T75" s="23"/>
    </row>
    <row r="76" ht="16.5" customHeight="1">
      <c r="A76" s="14">
        <v>3305.0</v>
      </c>
      <c r="B76" s="14" t="s">
        <v>110</v>
      </c>
      <c r="C76" s="14" t="s">
        <v>33</v>
      </c>
      <c r="D76" s="15">
        <v>45422.0</v>
      </c>
      <c r="E76" s="14" t="s">
        <v>30</v>
      </c>
      <c r="F76" s="16">
        <v>5.0</v>
      </c>
      <c r="G76" s="14" t="s">
        <v>31</v>
      </c>
      <c r="H76" s="14" t="s">
        <v>34</v>
      </c>
      <c r="I76" s="16">
        <v>0.0</v>
      </c>
      <c r="J76" s="14" t="s">
        <v>34</v>
      </c>
      <c r="K76" s="16">
        <v>0.0</v>
      </c>
      <c r="L76" s="16">
        <v>2.0</v>
      </c>
      <c r="M76" s="16">
        <v>3.0</v>
      </c>
      <c r="N76" s="19">
        <f t="shared" si="1"/>
        <v>5</v>
      </c>
      <c r="O76" s="20">
        <f t="shared" si="2"/>
        <v>0</v>
      </c>
      <c r="P76" s="21" t="str">
        <f t="shared" si="3"/>
        <v>Com cupom</v>
      </c>
      <c r="Q76" s="23"/>
      <c r="R76" s="23"/>
      <c r="S76" s="23"/>
      <c r="T76" s="23"/>
    </row>
    <row r="77" ht="16.5" customHeight="1">
      <c r="A77" s="14">
        <v>3306.0</v>
      </c>
      <c r="B77" s="14" t="s">
        <v>111</v>
      </c>
      <c r="C77" s="14" t="s">
        <v>29</v>
      </c>
      <c r="D77" s="15">
        <v>45423.0</v>
      </c>
      <c r="E77" s="14" t="s">
        <v>34</v>
      </c>
      <c r="F77" s="16">
        <v>15.0</v>
      </c>
      <c r="G77" s="14" t="s">
        <v>35</v>
      </c>
      <c r="H77" s="14" t="s">
        <v>30</v>
      </c>
      <c r="I77" s="16">
        <v>30.0</v>
      </c>
      <c r="J77" s="14" t="s">
        <v>30</v>
      </c>
      <c r="K77" s="16">
        <v>20.0</v>
      </c>
      <c r="L77" s="16">
        <v>5.0</v>
      </c>
      <c r="M77" s="16">
        <v>60.0</v>
      </c>
      <c r="N77" s="19">
        <f t="shared" si="1"/>
        <v>15</v>
      </c>
      <c r="O77" s="20">
        <f t="shared" si="2"/>
        <v>50</v>
      </c>
      <c r="P77" s="21" t="str">
        <f t="shared" si="3"/>
        <v>Com cupom</v>
      </c>
      <c r="Q77" s="23"/>
      <c r="R77" s="23"/>
      <c r="S77" s="23"/>
      <c r="T77" s="23"/>
    </row>
    <row r="78" ht="16.5" customHeight="1">
      <c r="A78" s="14">
        <v>3307.0</v>
      </c>
      <c r="B78" s="14" t="s">
        <v>112</v>
      </c>
      <c r="C78" s="14" t="s">
        <v>37</v>
      </c>
      <c r="D78" s="15">
        <v>45424.0</v>
      </c>
      <c r="E78" s="14" t="s">
        <v>30</v>
      </c>
      <c r="F78" s="16">
        <v>10.0</v>
      </c>
      <c r="G78" s="14" t="s">
        <v>31</v>
      </c>
      <c r="H78" s="14" t="s">
        <v>34</v>
      </c>
      <c r="I78" s="16">
        <v>0.0</v>
      </c>
      <c r="J78" s="14" t="s">
        <v>30</v>
      </c>
      <c r="K78" s="16">
        <v>20.0</v>
      </c>
      <c r="L78" s="16">
        <v>10.0</v>
      </c>
      <c r="M78" s="16">
        <v>20.0</v>
      </c>
      <c r="N78" s="19">
        <f t="shared" si="1"/>
        <v>10</v>
      </c>
      <c r="O78" s="20">
        <f t="shared" si="2"/>
        <v>20</v>
      </c>
      <c r="P78" s="21" t="str">
        <f t="shared" si="3"/>
        <v>Com cupom</v>
      </c>
      <c r="Q78" s="23"/>
      <c r="R78" s="23"/>
      <c r="S78" s="23"/>
      <c r="T78" s="23"/>
    </row>
    <row r="79" ht="16.5" customHeight="1">
      <c r="A79" s="14">
        <v>3308.0</v>
      </c>
      <c r="B79" s="14" t="s">
        <v>113</v>
      </c>
      <c r="C79" s="14" t="s">
        <v>33</v>
      </c>
      <c r="D79" s="15">
        <v>45425.0</v>
      </c>
      <c r="E79" s="14" t="s">
        <v>34</v>
      </c>
      <c r="F79" s="16">
        <v>5.0</v>
      </c>
      <c r="G79" s="14" t="s">
        <v>38</v>
      </c>
      <c r="H79" s="14" t="s">
        <v>34</v>
      </c>
      <c r="I79" s="16">
        <v>0.0</v>
      </c>
      <c r="J79" s="14" t="s">
        <v>34</v>
      </c>
      <c r="K79" s="16">
        <v>0.0</v>
      </c>
      <c r="L79" s="16">
        <v>0.0</v>
      </c>
      <c r="M79" s="16">
        <v>5.0</v>
      </c>
      <c r="N79" s="19">
        <f t="shared" si="1"/>
        <v>5</v>
      </c>
      <c r="O79" s="20">
        <f t="shared" si="2"/>
        <v>0</v>
      </c>
      <c r="P79" s="21" t="str">
        <f t="shared" si="3"/>
        <v>Sem cupom</v>
      </c>
      <c r="Q79" s="23"/>
      <c r="R79" s="23"/>
      <c r="S79" s="23"/>
      <c r="T79" s="23"/>
    </row>
    <row r="80" ht="16.5" customHeight="1">
      <c r="A80" s="14">
        <v>3309.0</v>
      </c>
      <c r="B80" s="14" t="s">
        <v>114</v>
      </c>
      <c r="C80" s="14" t="s">
        <v>29</v>
      </c>
      <c r="D80" s="15">
        <v>45426.0</v>
      </c>
      <c r="E80" s="14" t="s">
        <v>30</v>
      </c>
      <c r="F80" s="16">
        <v>15.0</v>
      </c>
      <c r="G80" s="14" t="s">
        <v>31</v>
      </c>
      <c r="H80" s="14" t="s">
        <v>30</v>
      </c>
      <c r="I80" s="16">
        <v>30.0</v>
      </c>
      <c r="J80" s="14" t="s">
        <v>30</v>
      </c>
      <c r="K80" s="16">
        <v>20.0</v>
      </c>
      <c r="L80" s="16">
        <v>3.0</v>
      </c>
      <c r="M80" s="16">
        <v>62.0</v>
      </c>
      <c r="N80" s="19">
        <f t="shared" si="1"/>
        <v>15</v>
      </c>
      <c r="O80" s="20">
        <f t="shared" si="2"/>
        <v>50</v>
      </c>
      <c r="P80" s="21" t="str">
        <f t="shared" si="3"/>
        <v>Com cupom</v>
      </c>
      <c r="Q80" s="23"/>
      <c r="R80" s="23"/>
      <c r="S80" s="23"/>
      <c r="T80" s="23"/>
    </row>
    <row r="81" ht="16.5" customHeight="1">
      <c r="A81" s="14">
        <v>3310.0</v>
      </c>
      <c r="B81" s="14" t="s">
        <v>115</v>
      </c>
      <c r="C81" s="14" t="s">
        <v>37</v>
      </c>
      <c r="D81" s="15">
        <v>45427.0</v>
      </c>
      <c r="E81" s="14" t="s">
        <v>34</v>
      </c>
      <c r="F81" s="16">
        <v>10.0</v>
      </c>
      <c r="G81" s="14" t="s">
        <v>35</v>
      </c>
      <c r="H81" s="14" t="s">
        <v>34</v>
      </c>
      <c r="I81" s="16">
        <v>0.0</v>
      </c>
      <c r="J81" s="14" t="s">
        <v>30</v>
      </c>
      <c r="K81" s="16">
        <v>20.0</v>
      </c>
      <c r="L81" s="16">
        <v>15.0</v>
      </c>
      <c r="M81" s="16">
        <v>15.0</v>
      </c>
      <c r="N81" s="19">
        <f t="shared" si="1"/>
        <v>10</v>
      </c>
      <c r="O81" s="20">
        <f t="shared" si="2"/>
        <v>20</v>
      </c>
      <c r="P81" s="21" t="str">
        <f t="shared" si="3"/>
        <v>Com cupom</v>
      </c>
      <c r="Q81" s="23"/>
      <c r="R81" s="23"/>
      <c r="S81" s="23"/>
      <c r="T81" s="23"/>
    </row>
    <row r="82" ht="16.5" customHeight="1">
      <c r="A82" s="14">
        <v>3311.0</v>
      </c>
      <c r="B82" s="14" t="s">
        <v>116</v>
      </c>
      <c r="C82" s="14" t="s">
        <v>33</v>
      </c>
      <c r="D82" s="15">
        <v>45428.0</v>
      </c>
      <c r="E82" s="14" t="s">
        <v>30</v>
      </c>
      <c r="F82" s="16">
        <v>5.0</v>
      </c>
      <c r="G82" s="14" t="s">
        <v>31</v>
      </c>
      <c r="H82" s="14" t="s">
        <v>34</v>
      </c>
      <c r="I82" s="16">
        <v>0.0</v>
      </c>
      <c r="J82" s="14" t="s">
        <v>34</v>
      </c>
      <c r="K82" s="16">
        <v>0.0</v>
      </c>
      <c r="L82" s="16">
        <v>1.0</v>
      </c>
      <c r="M82" s="16">
        <v>4.0</v>
      </c>
      <c r="N82" s="19">
        <f t="shared" si="1"/>
        <v>5</v>
      </c>
      <c r="O82" s="20">
        <f t="shared" si="2"/>
        <v>0</v>
      </c>
      <c r="P82" s="21" t="str">
        <f t="shared" si="3"/>
        <v>Com cupom</v>
      </c>
      <c r="Q82" s="23"/>
      <c r="R82" s="23"/>
      <c r="S82" s="23"/>
      <c r="T82" s="23"/>
    </row>
    <row r="83" ht="16.5" customHeight="1">
      <c r="A83" s="14">
        <v>3312.0</v>
      </c>
      <c r="B83" s="14" t="s">
        <v>117</v>
      </c>
      <c r="C83" s="14" t="s">
        <v>29</v>
      </c>
      <c r="D83" s="15">
        <v>45429.0</v>
      </c>
      <c r="E83" s="14" t="s">
        <v>34</v>
      </c>
      <c r="F83" s="16">
        <v>15.0</v>
      </c>
      <c r="G83" s="14" t="s">
        <v>38</v>
      </c>
      <c r="H83" s="14" t="s">
        <v>30</v>
      </c>
      <c r="I83" s="16">
        <v>30.0</v>
      </c>
      <c r="J83" s="14" t="s">
        <v>30</v>
      </c>
      <c r="K83" s="16">
        <v>20.0</v>
      </c>
      <c r="L83" s="16">
        <v>7.0</v>
      </c>
      <c r="M83" s="16">
        <v>58.0</v>
      </c>
      <c r="N83" s="19">
        <f t="shared" si="1"/>
        <v>15</v>
      </c>
      <c r="O83" s="20">
        <f t="shared" si="2"/>
        <v>50</v>
      </c>
      <c r="P83" s="21" t="str">
        <f t="shared" si="3"/>
        <v>Com cupom</v>
      </c>
      <c r="Q83" s="23"/>
      <c r="R83" s="23"/>
      <c r="S83" s="23"/>
      <c r="T83" s="23"/>
    </row>
    <row r="84" ht="16.5" customHeight="1">
      <c r="A84" s="14">
        <v>3313.0</v>
      </c>
      <c r="B84" s="14" t="s">
        <v>118</v>
      </c>
      <c r="C84" s="14" t="s">
        <v>37</v>
      </c>
      <c r="D84" s="15">
        <v>45430.0</v>
      </c>
      <c r="E84" s="14" t="s">
        <v>30</v>
      </c>
      <c r="F84" s="16">
        <v>10.0</v>
      </c>
      <c r="G84" s="14" t="s">
        <v>31</v>
      </c>
      <c r="H84" s="14" t="s">
        <v>34</v>
      </c>
      <c r="I84" s="16">
        <v>0.0</v>
      </c>
      <c r="J84" s="14" t="s">
        <v>30</v>
      </c>
      <c r="K84" s="16">
        <v>20.0</v>
      </c>
      <c r="L84" s="16">
        <v>10.0</v>
      </c>
      <c r="M84" s="16">
        <v>20.0</v>
      </c>
      <c r="N84" s="19">
        <f t="shared" si="1"/>
        <v>10</v>
      </c>
      <c r="O84" s="20">
        <f t="shared" si="2"/>
        <v>20</v>
      </c>
      <c r="P84" s="21" t="str">
        <f t="shared" si="3"/>
        <v>Com cupom</v>
      </c>
      <c r="Q84" s="23"/>
      <c r="R84" s="23"/>
      <c r="S84" s="23"/>
      <c r="T84" s="23"/>
    </row>
    <row r="85" ht="16.5" customHeight="1">
      <c r="A85" s="14">
        <v>3314.0</v>
      </c>
      <c r="B85" s="14" t="s">
        <v>119</v>
      </c>
      <c r="C85" s="14" t="s">
        <v>33</v>
      </c>
      <c r="D85" s="15">
        <v>45431.0</v>
      </c>
      <c r="E85" s="14" t="s">
        <v>34</v>
      </c>
      <c r="F85" s="16">
        <v>5.0</v>
      </c>
      <c r="G85" s="14" t="s">
        <v>35</v>
      </c>
      <c r="H85" s="14" t="s">
        <v>34</v>
      </c>
      <c r="I85" s="16">
        <v>0.0</v>
      </c>
      <c r="J85" s="14" t="s">
        <v>34</v>
      </c>
      <c r="K85" s="16">
        <v>0.0</v>
      </c>
      <c r="L85" s="16">
        <v>0.0</v>
      </c>
      <c r="M85" s="16">
        <v>5.0</v>
      </c>
      <c r="N85" s="19">
        <f t="shared" si="1"/>
        <v>5</v>
      </c>
      <c r="O85" s="20">
        <f t="shared" si="2"/>
        <v>0</v>
      </c>
      <c r="P85" s="21" t="str">
        <f t="shared" si="3"/>
        <v>Sem cupom</v>
      </c>
      <c r="Q85" s="23"/>
      <c r="R85" s="23"/>
      <c r="S85" s="23"/>
      <c r="T85" s="23"/>
    </row>
    <row r="86" ht="16.5" customHeight="1">
      <c r="A86" s="14">
        <v>3315.0</v>
      </c>
      <c r="B86" s="14" t="s">
        <v>120</v>
      </c>
      <c r="C86" s="14" t="s">
        <v>29</v>
      </c>
      <c r="D86" s="15">
        <v>45432.0</v>
      </c>
      <c r="E86" s="14" t="s">
        <v>30</v>
      </c>
      <c r="F86" s="16">
        <v>15.0</v>
      </c>
      <c r="G86" s="14" t="s">
        <v>31</v>
      </c>
      <c r="H86" s="14" t="s">
        <v>30</v>
      </c>
      <c r="I86" s="16">
        <v>30.0</v>
      </c>
      <c r="J86" s="14" t="s">
        <v>30</v>
      </c>
      <c r="K86" s="16">
        <v>20.0</v>
      </c>
      <c r="L86" s="16">
        <v>20.0</v>
      </c>
      <c r="M86" s="16">
        <v>45.0</v>
      </c>
      <c r="N86" s="19">
        <f t="shared" si="1"/>
        <v>15</v>
      </c>
      <c r="O86" s="20">
        <f t="shared" si="2"/>
        <v>50</v>
      </c>
      <c r="P86" s="21" t="str">
        <f t="shared" si="3"/>
        <v>Com cupom</v>
      </c>
      <c r="Q86" s="23"/>
      <c r="R86" s="23"/>
      <c r="S86" s="23"/>
      <c r="T86" s="23"/>
    </row>
    <row r="87" ht="16.5" customHeight="1">
      <c r="A87" s="14">
        <v>3316.0</v>
      </c>
      <c r="B87" s="14" t="s">
        <v>121</v>
      </c>
      <c r="C87" s="14" t="s">
        <v>37</v>
      </c>
      <c r="D87" s="15">
        <v>45433.0</v>
      </c>
      <c r="E87" s="14" t="s">
        <v>34</v>
      </c>
      <c r="F87" s="16">
        <v>10.0</v>
      </c>
      <c r="G87" s="14" t="s">
        <v>38</v>
      </c>
      <c r="H87" s="14" t="s">
        <v>34</v>
      </c>
      <c r="I87" s="16">
        <v>0.0</v>
      </c>
      <c r="J87" s="14" t="s">
        <v>30</v>
      </c>
      <c r="K87" s="16">
        <v>20.0</v>
      </c>
      <c r="L87" s="16">
        <v>15.0</v>
      </c>
      <c r="M87" s="16">
        <v>15.0</v>
      </c>
      <c r="N87" s="19">
        <f t="shared" si="1"/>
        <v>10</v>
      </c>
      <c r="O87" s="20">
        <f t="shared" si="2"/>
        <v>20</v>
      </c>
      <c r="P87" s="21" t="str">
        <f t="shared" si="3"/>
        <v>Com cupom</v>
      </c>
      <c r="Q87" s="23"/>
      <c r="R87" s="23"/>
      <c r="S87" s="23"/>
      <c r="T87" s="23"/>
    </row>
    <row r="88" ht="16.5" customHeight="1">
      <c r="A88" s="14">
        <v>3317.0</v>
      </c>
      <c r="B88" s="14" t="s">
        <v>122</v>
      </c>
      <c r="C88" s="14" t="s">
        <v>33</v>
      </c>
      <c r="D88" s="15">
        <v>45434.0</v>
      </c>
      <c r="E88" s="14" t="s">
        <v>30</v>
      </c>
      <c r="F88" s="16">
        <v>5.0</v>
      </c>
      <c r="G88" s="14" t="s">
        <v>31</v>
      </c>
      <c r="H88" s="14" t="s">
        <v>34</v>
      </c>
      <c r="I88" s="16">
        <v>0.0</v>
      </c>
      <c r="J88" s="14" t="s">
        <v>34</v>
      </c>
      <c r="K88" s="16">
        <v>0.0</v>
      </c>
      <c r="L88" s="16">
        <v>1.0</v>
      </c>
      <c r="M88" s="16">
        <v>4.0</v>
      </c>
      <c r="N88" s="19">
        <f t="shared" si="1"/>
        <v>5</v>
      </c>
      <c r="O88" s="20">
        <f t="shared" si="2"/>
        <v>0</v>
      </c>
      <c r="P88" s="21" t="str">
        <f t="shared" si="3"/>
        <v>Com cupom</v>
      </c>
      <c r="Q88" s="23"/>
      <c r="R88" s="23"/>
      <c r="S88" s="23"/>
      <c r="T88" s="23"/>
    </row>
    <row r="89" ht="16.5" customHeight="1">
      <c r="A89" s="14">
        <v>3318.0</v>
      </c>
      <c r="B89" s="14" t="s">
        <v>123</v>
      </c>
      <c r="C89" s="14" t="s">
        <v>29</v>
      </c>
      <c r="D89" s="15">
        <v>45435.0</v>
      </c>
      <c r="E89" s="14" t="s">
        <v>34</v>
      </c>
      <c r="F89" s="16">
        <v>15.0</v>
      </c>
      <c r="G89" s="14" t="s">
        <v>35</v>
      </c>
      <c r="H89" s="14" t="s">
        <v>30</v>
      </c>
      <c r="I89" s="16">
        <v>30.0</v>
      </c>
      <c r="J89" s="14" t="s">
        <v>30</v>
      </c>
      <c r="K89" s="16">
        <v>20.0</v>
      </c>
      <c r="L89" s="16">
        <v>3.0</v>
      </c>
      <c r="M89" s="16">
        <v>62.0</v>
      </c>
      <c r="N89" s="19">
        <f t="shared" si="1"/>
        <v>15</v>
      </c>
      <c r="O89" s="20">
        <f t="shared" si="2"/>
        <v>50</v>
      </c>
      <c r="P89" s="21" t="str">
        <f t="shared" si="3"/>
        <v>Com cupom</v>
      </c>
      <c r="Q89" s="23"/>
      <c r="R89" s="23"/>
      <c r="S89" s="23"/>
      <c r="T89" s="23"/>
    </row>
    <row r="90" ht="16.5" customHeight="1">
      <c r="A90" s="14">
        <v>3319.0</v>
      </c>
      <c r="B90" s="14" t="s">
        <v>124</v>
      </c>
      <c r="C90" s="14" t="s">
        <v>37</v>
      </c>
      <c r="D90" s="15">
        <v>45436.0</v>
      </c>
      <c r="E90" s="14" t="s">
        <v>30</v>
      </c>
      <c r="F90" s="16">
        <v>10.0</v>
      </c>
      <c r="G90" s="14" t="s">
        <v>31</v>
      </c>
      <c r="H90" s="14" t="s">
        <v>34</v>
      </c>
      <c r="I90" s="16">
        <v>0.0</v>
      </c>
      <c r="J90" s="14" t="s">
        <v>30</v>
      </c>
      <c r="K90" s="16">
        <v>20.0</v>
      </c>
      <c r="L90" s="16">
        <v>10.0</v>
      </c>
      <c r="M90" s="16">
        <v>20.0</v>
      </c>
      <c r="N90" s="19">
        <f t="shared" si="1"/>
        <v>10</v>
      </c>
      <c r="O90" s="20">
        <f t="shared" si="2"/>
        <v>20</v>
      </c>
      <c r="P90" s="21" t="str">
        <f t="shared" si="3"/>
        <v>Com cupom</v>
      </c>
      <c r="Q90" s="23"/>
      <c r="R90" s="23"/>
      <c r="S90" s="23"/>
      <c r="T90" s="23"/>
    </row>
    <row r="91" ht="16.5" customHeight="1">
      <c r="A91" s="14">
        <v>3320.0</v>
      </c>
      <c r="B91" s="14" t="s">
        <v>125</v>
      </c>
      <c r="C91" s="14" t="s">
        <v>33</v>
      </c>
      <c r="D91" s="15">
        <v>45437.0</v>
      </c>
      <c r="E91" s="14" t="s">
        <v>34</v>
      </c>
      <c r="F91" s="16">
        <v>5.0</v>
      </c>
      <c r="G91" s="14" t="s">
        <v>38</v>
      </c>
      <c r="H91" s="14" t="s">
        <v>34</v>
      </c>
      <c r="I91" s="16">
        <v>0.0</v>
      </c>
      <c r="J91" s="14" t="s">
        <v>34</v>
      </c>
      <c r="K91" s="16">
        <v>0.0</v>
      </c>
      <c r="L91" s="16">
        <v>0.0</v>
      </c>
      <c r="M91" s="16">
        <v>5.0</v>
      </c>
      <c r="N91" s="19">
        <f t="shared" si="1"/>
        <v>5</v>
      </c>
      <c r="O91" s="20">
        <f t="shared" si="2"/>
        <v>0</v>
      </c>
      <c r="P91" s="21" t="str">
        <f t="shared" si="3"/>
        <v>Sem cupom</v>
      </c>
      <c r="Q91" s="23"/>
      <c r="R91" s="23"/>
      <c r="S91" s="23"/>
      <c r="T91" s="23"/>
    </row>
    <row r="92" ht="16.5" customHeight="1">
      <c r="A92" s="14">
        <v>3321.0</v>
      </c>
      <c r="B92" s="14" t="s">
        <v>126</v>
      </c>
      <c r="C92" s="14" t="s">
        <v>29</v>
      </c>
      <c r="D92" s="15">
        <v>45438.0</v>
      </c>
      <c r="E92" s="14" t="s">
        <v>30</v>
      </c>
      <c r="F92" s="16">
        <v>15.0</v>
      </c>
      <c r="G92" s="14" t="s">
        <v>31</v>
      </c>
      <c r="H92" s="14" t="s">
        <v>30</v>
      </c>
      <c r="I92" s="16">
        <v>30.0</v>
      </c>
      <c r="J92" s="14" t="s">
        <v>30</v>
      </c>
      <c r="K92" s="16">
        <v>20.0</v>
      </c>
      <c r="L92" s="16">
        <v>5.0</v>
      </c>
      <c r="M92" s="16">
        <v>60.0</v>
      </c>
      <c r="N92" s="19">
        <f t="shared" si="1"/>
        <v>15</v>
      </c>
      <c r="O92" s="20">
        <f t="shared" si="2"/>
        <v>50</v>
      </c>
      <c r="P92" s="21" t="str">
        <f t="shared" si="3"/>
        <v>Com cupom</v>
      </c>
      <c r="Q92" s="23"/>
      <c r="R92" s="23"/>
      <c r="S92" s="23"/>
      <c r="T92" s="23"/>
    </row>
    <row r="93" ht="16.5" customHeight="1">
      <c r="A93" s="14">
        <v>3322.0</v>
      </c>
      <c r="B93" s="14" t="s">
        <v>127</v>
      </c>
      <c r="C93" s="14" t="s">
        <v>37</v>
      </c>
      <c r="D93" s="15">
        <v>45439.0</v>
      </c>
      <c r="E93" s="14" t="s">
        <v>34</v>
      </c>
      <c r="F93" s="16">
        <v>10.0</v>
      </c>
      <c r="G93" s="14" t="s">
        <v>35</v>
      </c>
      <c r="H93" s="14" t="s">
        <v>34</v>
      </c>
      <c r="I93" s="16">
        <v>0.0</v>
      </c>
      <c r="J93" s="14" t="s">
        <v>30</v>
      </c>
      <c r="K93" s="16">
        <v>20.0</v>
      </c>
      <c r="L93" s="16">
        <v>15.0</v>
      </c>
      <c r="M93" s="16">
        <v>15.0</v>
      </c>
      <c r="N93" s="19">
        <f t="shared" si="1"/>
        <v>10</v>
      </c>
      <c r="O93" s="20">
        <f t="shared" si="2"/>
        <v>20</v>
      </c>
      <c r="P93" s="21" t="str">
        <f t="shared" si="3"/>
        <v>Com cupom</v>
      </c>
      <c r="Q93" s="23"/>
      <c r="R93" s="23"/>
      <c r="S93" s="23"/>
      <c r="T93" s="23"/>
    </row>
    <row r="94" ht="16.5" customHeight="1">
      <c r="A94" s="14">
        <v>3323.0</v>
      </c>
      <c r="B94" s="14" t="s">
        <v>128</v>
      </c>
      <c r="C94" s="14" t="s">
        <v>33</v>
      </c>
      <c r="D94" s="15">
        <v>45440.0</v>
      </c>
      <c r="E94" s="14" t="s">
        <v>30</v>
      </c>
      <c r="F94" s="16">
        <v>5.0</v>
      </c>
      <c r="G94" s="14" t="s">
        <v>31</v>
      </c>
      <c r="H94" s="14" t="s">
        <v>34</v>
      </c>
      <c r="I94" s="16">
        <v>0.0</v>
      </c>
      <c r="J94" s="14" t="s">
        <v>34</v>
      </c>
      <c r="K94" s="16">
        <v>0.0</v>
      </c>
      <c r="L94" s="16">
        <v>1.0</v>
      </c>
      <c r="M94" s="16">
        <v>4.0</v>
      </c>
      <c r="N94" s="19">
        <f t="shared" si="1"/>
        <v>5</v>
      </c>
      <c r="O94" s="20">
        <f t="shared" si="2"/>
        <v>0</v>
      </c>
      <c r="P94" s="21" t="str">
        <f t="shared" si="3"/>
        <v>Com cupom</v>
      </c>
      <c r="Q94" s="23"/>
      <c r="R94" s="23"/>
      <c r="S94" s="23"/>
      <c r="T94" s="23"/>
    </row>
    <row r="95" ht="16.5" customHeight="1">
      <c r="A95" s="14">
        <v>3324.0</v>
      </c>
      <c r="B95" s="14" t="s">
        <v>129</v>
      </c>
      <c r="C95" s="14" t="s">
        <v>29</v>
      </c>
      <c r="D95" s="15">
        <v>45441.0</v>
      </c>
      <c r="E95" s="14" t="s">
        <v>34</v>
      </c>
      <c r="F95" s="16">
        <v>15.0</v>
      </c>
      <c r="G95" s="14" t="s">
        <v>38</v>
      </c>
      <c r="H95" s="14" t="s">
        <v>30</v>
      </c>
      <c r="I95" s="16">
        <v>30.0</v>
      </c>
      <c r="J95" s="14" t="s">
        <v>30</v>
      </c>
      <c r="K95" s="16">
        <v>20.0</v>
      </c>
      <c r="L95" s="16">
        <v>20.0</v>
      </c>
      <c r="M95" s="16">
        <v>45.0</v>
      </c>
      <c r="N95" s="19">
        <f t="shared" si="1"/>
        <v>15</v>
      </c>
      <c r="O95" s="20">
        <f t="shared" si="2"/>
        <v>50</v>
      </c>
      <c r="P95" s="21" t="str">
        <f t="shared" si="3"/>
        <v>Com cupom</v>
      </c>
      <c r="Q95" s="23"/>
      <c r="R95" s="23"/>
      <c r="S95" s="23"/>
      <c r="T95" s="23"/>
    </row>
    <row r="96" ht="16.5" customHeight="1">
      <c r="A96" s="14">
        <v>3325.0</v>
      </c>
      <c r="B96" s="14" t="s">
        <v>130</v>
      </c>
      <c r="C96" s="14" t="s">
        <v>37</v>
      </c>
      <c r="D96" s="15">
        <v>45442.0</v>
      </c>
      <c r="E96" s="14" t="s">
        <v>30</v>
      </c>
      <c r="F96" s="16">
        <v>10.0</v>
      </c>
      <c r="G96" s="14" t="s">
        <v>38</v>
      </c>
      <c r="H96" s="14" t="s">
        <v>34</v>
      </c>
      <c r="I96" s="16">
        <v>0.0</v>
      </c>
      <c r="J96" s="14" t="s">
        <v>30</v>
      </c>
      <c r="K96" s="16">
        <v>20.0</v>
      </c>
      <c r="L96" s="16">
        <v>15.0</v>
      </c>
      <c r="M96" s="16">
        <v>15.0</v>
      </c>
      <c r="N96" s="19">
        <f t="shared" si="1"/>
        <v>10</v>
      </c>
      <c r="O96" s="20">
        <f t="shared" si="2"/>
        <v>20</v>
      </c>
      <c r="P96" s="21" t="str">
        <f t="shared" si="3"/>
        <v>Com cupom</v>
      </c>
      <c r="Q96" s="23"/>
      <c r="R96" s="23"/>
      <c r="S96" s="23"/>
      <c r="T96" s="23"/>
    </row>
    <row r="97" ht="16.5" customHeight="1">
      <c r="A97" s="14">
        <v>3326.0</v>
      </c>
      <c r="B97" s="14" t="s">
        <v>131</v>
      </c>
      <c r="C97" s="14" t="s">
        <v>33</v>
      </c>
      <c r="D97" s="15">
        <v>45443.0</v>
      </c>
      <c r="E97" s="14" t="s">
        <v>34</v>
      </c>
      <c r="F97" s="16">
        <v>5.0</v>
      </c>
      <c r="G97" s="14" t="s">
        <v>35</v>
      </c>
      <c r="H97" s="14" t="s">
        <v>34</v>
      </c>
      <c r="I97" s="16">
        <v>0.0</v>
      </c>
      <c r="J97" s="14" t="s">
        <v>34</v>
      </c>
      <c r="K97" s="16">
        <v>0.0</v>
      </c>
      <c r="L97" s="16">
        <v>0.0</v>
      </c>
      <c r="M97" s="16">
        <v>5.0</v>
      </c>
      <c r="N97" s="19">
        <f t="shared" si="1"/>
        <v>5</v>
      </c>
      <c r="O97" s="20">
        <f t="shared" si="2"/>
        <v>0</v>
      </c>
      <c r="P97" s="21" t="str">
        <f t="shared" si="3"/>
        <v>Sem cupom</v>
      </c>
      <c r="Q97" s="23"/>
      <c r="R97" s="23"/>
      <c r="S97" s="23"/>
      <c r="T97" s="23"/>
    </row>
    <row r="98" ht="16.5" customHeight="1">
      <c r="A98" s="14">
        <v>3327.0</v>
      </c>
      <c r="B98" s="14" t="s">
        <v>132</v>
      </c>
      <c r="C98" s="14" t="s">
        <v>29</v>
      </c>
      <c r="D98" s="15">
        <v>45444.0</v>
      </c>
      <c r="E98" s="14" t="s">
        <v>30</v>
      </c>
      <c r="F98" s="16">
        <v>15.0</v>
      </c>
      <c r="G98" s="14" t="s">
        <v>31</v>
      </c>
      <c r="H98" s="14" t="s">
        <v>30</v>
      </c>
      <c r="I98" s="16">
        <v>30.0</v>
      </c>
      <c r="J98" s="14" t="s">
        <v>30</v>
      </c>
      <c r="K98" s="16">
        <v>20.0</v>
      </c>
      <c r="L98" s="16">
        <v>7.0</v>
      </c>
      <c r="M98" s="16">
        <v>58.0</v>
      </c>
      <c r="N98" s="19">
        <f t="shared" si="1"/>
        <v>15</v>
      </c>
      <c r="O98" s="20">
        <f t="shared" si="2"/>
        <v>50</v>
      </c>
      <c r="P98" s="21" t="str">
        <f t="shared" si="3"/>
        <v>Com cupom</v>
      </c>
      <c r="Q98" s="23"/>
      <c r="R98" s="23"/>
      <c r="S98" s="23"/>
      <c r="T98" s="23"/>
    </row>
    <row r="99" ht="16.5" customHeight="1">
      <c r="A99" s="14">
        <v>3328.0</v>
      </c>
      <c r="B99" s="14" t="s">
        <v>133</v>
      </c>
      <c r="C99" s="14" t="s">
        <v>37</v>
      </c>
      <c r="D99" s="15">
        <v>45445.0</v>
      </c>
      <c r="E99" s="14" t="s">
        <v>34</v>
      </c>
      <c r="F99" s="16">
        <v>10.0</v>
      </c>
      <c r="G99" s="14" t="s">
        <v>35</v>
      </c>
      <c r="H99" s="14" t="s">
        <v>34</v>
      </c>
      <c r="I99" s="16">
        <v>0.0</v>
      </c>
      <c r="J99" s="14" t="s">
        <v>30</v>
      </c>
      <c r="K99" s="16">
        <v>20.0</v>
      </c>
      <c r="L99" s="16">
        <v>10.0</v>
      </c>
      <c r="M99" s="16">
        <v>20.0</v>
      </c>
      <c r="N99" s="19">
        <f t="shared" si="1"/>
        <v>10</v>
      </c>
      <c r="O99" s="20">
        <f t="shared" si="2"/>
        <v>20</v>
      </c>
      <c r="P99" s="21" t="str">
        <f t="shared" si="3"/>
        <v>Com cupom</v>
      </c>
      <c r="Q99" s="23"/>
      <c r="R99" s="23"/>
      <c r="S99" s="23"/>
      <c r="T99" s="23"/>
    </row>
    <row r="100" ht="16.5" customHeight="1">
      <c r="A100" s="14">
        <v>3329.0</v>
      </c>
      <c r="B100" s="14" t="s">
        <v>134</v>
      </c>
      <c r="C100" s="14" t="s">
        <v>33</v>
      </c>
      <c r="D100" s="15">
        <v>45446.0</v>
      </c>
      <c r="E100" s="14" t="s">
        <v>30</v>
      </c>
      <c r="F100" s="16">
        <v>5.0</v>
      </c>
      <c r="G100" s="14" t="s">
        <v>38</v>
      </c>
      <c r="H100" s="14" t="s">
        <v>34</v>
      </c>
      <c r="I100" s="16">
        <v>0.0</v>
      </c>
      <c r="J100" s="14" t="s">
        <v>34</v>
      </c>
      <c r="K100" s="16">
        <v>0.0</v>
      </c>
      <c r="L100" s="16">
        <v>1.0</v>
      </c>
      <c r="M100" s="16">
        <v>4.0</v>
      </c>
      <c r="N100" s="19">
        <f t="shared" si="1"/>
        <v>5</v>
      </c>
      <c r="O100" s="20">
        <f t="shared" si="2"/>
        <v>0</v>
      </c>
      <c r="P100" s="21" t="str">
        <f t="shared" si="3"/>
        <v>Com cupom</v>
      </c>
      <c r="Q100" s="23"/>
      <c r="R100" s="23"/>
      <c r="S100" s="23"/>
      <c r="T100" s="23"/>
    </row>
    <row r="101" ht="16.5" customHeight="1">
      <c r="A101" s="14">
        <v>3330.0</v>
      </c>
      <c r="B101" s="14" t="s">
        <v>135</v>
      </c>
      <c r="C101" s="14" t="s">
        <v>29</v>
      </c>
      <c r="D101" s="15">
        <v>45447.0</v>
      </c>
      <c r="E101" s="14" t="s">
        <v>34</v>
      </c>
      <c r="F101" s="16">
        <v>15.0</v>
      </c>
      <c r="G101" s="14" t="s">
        <v>31</v>
      </c>
      <c r="H101" s="14" t="s">
        <v>30</v>
      </c>
      <c r="I101" s="16">
        <v>30.0</v>
      </c>
      <c r="J101" s="14" t="s">
        <v>30</v>
      </c>
      <c r="K101" s="16">
        <v>20.0</v>
      </c>
      <c r="L101" s="16">
        <v>15.0</v>
      </c>
      <c r="M101" s="16">
        <v>50.0</v>
      </c>
      <c r="N101" s="19">
        <f t="shared" si="1"/>
        <v>15</v>
      </c>
      <c r="O101" s="20">
        <f t="shared" si="2"/>
        <v>50</v>
      </c>
      <c r="P101" s="21" t="str">
        <f t="shared" si="3"/>
        <v>Com cupom</v>
      </c>
      <c r="Q101" s="23"/>
      <c r="R101" s="23"/>
      <c r="S101" s="23"/>
      <c r="T101" s="23"/>
    </row>
    <row r="102" ht="16.5" customHeight="1">
      <c r="A102" s="14">
        <v>3331.0</v>
      </c>
      <c r="B102" s="14" t="s">
        <v>136</v>
      </c>
      <c r="C102" s="14" t="s">
        <v>37</v>
      </c>
      <c r="D102" s="15">
        <v>45448.0</v>
      </c>
      <c r="E102" s="14" t="s">
        <v>30</v>
      </c>
      <c r="F102" s="16">
        <v>10.0</v>
      </c>
      <c r="G102" s="14" t="s">
        <v>31</v>
      </c>
      <c r="H102" s="14" t="s">
        <v>34</v>
      </c>
      <c r="I102" s="16">
        <v>0.0</v>
      </c>
      <c r="J102" s="14" t="s">
        <v>30</v>
      </c>
      <c r="K102" s="16">
        <v>20.0</v>
      </c>
      <c r="L102" s="16">
        <v>5.0</v>
      </c>
      <c r="M102" s="16">
        <v>25.0</v>
      </c>
      <c r="N102" s="19">
        <f t="shared" si="1"/>
        <v>10</v>
      </c>
      <c r="O102" s="20">
        <f t="shared" si="2"/>
        <v>20</v>
      </c>
      <c r="P102" s="21" t="str">
        <f t="shared" si="3"/>
        <v>Com cupom</v>
      </c>
      <c r="Q102" s="23"/>
      <c r="R102" s="23"/>
      <c r="S102" s="23"/>
      <c r="T102" s="23"/>
    </row>
    <row r="103" ht="16.5" customHeight="1">
      <c r="A103" s="14">
        <v>3332.0</v>
      </c>
      <c r="B103" s="14" t="s">
        <v>137</v>
      </c>
      <c r="C103" s="14" t="s">
        <v>33</v>
      </c>
      <c r="D103" s="15">
        <v>45449.0</v>
      </c>
      <c r="E103" s="14" t="s">
        <v>34</v>
      </c>
      <c r="F103" s="16">
        <v>5.0</v>
      </c>
      <c r="G103" s="14" t="s">
        <v>35</v>
      </c>
      <c r="H103" s="14" t="s">
        <v>34</v>
      </c>
      <c r="I103" s="16">
        <v>0.0</v>
      </c>
      <c r="J103" s="14" t="s">
        <v>34</v>
      </c>
      <c r="K103" s="16">
        <v>0.0</v>
      </c>
      <c r="L103" s="16">
        <v>0.0</v>
      </c>
      <c r="M103" s="16">
        <v>5.0</v>
      </c>
      <c r="N103" s="19">
        <f t="shared" si="1"/>
        <v>5</v>
      </c>
      <c r="O103" s="20">
        <f t="shared" si="2"/>
        <v>0</v>
      </c>
      <c r="P103" s="21" t="str">
        <f t="shared" si="3"/>
        <v>Sem cupom</v>
      </c>
      <c r="Q103" s="23"/>
      <c r="R103" s="23"/>
      <c r="S103" s="23"/>
      <c r="T103" s="23"/>
    </row>
    <row r="104" ht="16.5" customHeight="1">
      <c r="A104" s="14">
        <v>3333.0</v>
      </c>
      <c r="B104" s="14" t="s">
        <v>138</v>
      </c>
      <c r="C104" s="14" t="s">
        <v>29</v>
      </c>
      <c r="D104" s="15">
        <v>45450.0</v>
      </c>
      <c r="E104" s="14" t="s">
        <v>30</v>
      </c>
      <c r="F104" s="16">
        <v>15.0</v>
      </c>
      <c r="G104" s="14" t="s">
        <v>38</v>
      </c>
      <c r="H104" s="14" t="s">
        <v>30</v>
      </c>
      <c r="I104" s="16">
        <v>30.0</v>
      </c>
      <c r="J104" s="14" t="s">
        <v>30</v>
      </c>
      <c r="K104" s="16">
        <v>20.0</v>
      </c>
      <c r="L104" s="16">
        <v>20.0</v>
      </c>
      <c r="M104" s="16">
        <v>45.0</v>
      </c>
      <c r="N104" s="19">
        <f t="shared" si="1"/>
        <v>15</v>
      </c>
      <c r="O104" s="20">
        <f t="shared" si="2"/>
        <v>50</v>
      </c>
      <c r="P104" s="21" t="str">
        <f t="shared" si="3"/>
        <v>Com cupom</v>
      </c>
      <c r="Q104" s="23"/>
      <c r="R104" s="23"/>
      <c r="S104" s="23"/>
      <c r="T104" s="23"/>
    </row>
    <row r="105" ht="16.5" customHeight="1">
      <c r="A105" s="14">
        <v>3334.0</v>
      </c>
      <c r="B105" s="14" t="s">
        <v>139</v>
      </c>
      <c r="C105" s="14" t="s">
        <v>37</v>
      </c>
      <c r="D105" s="15">
        <v>45451.0</v>
      </c>
      <c r="E105" s="14" t="s">
        <v>34</v>
      </c>
      <c r="F105" s="16">
        <v>10.0</v>
      </c>
      <c r="G105" s="14" t="s">
        <v>38</v>
      </c>
      <c r="H105" s="14" t="s">
        <v>34</v>
      </c>
      <c r="I105" s="16">
        <v>0.0</v>
      </c>
      <c r="J105" s="14" t="s">
        <v>30</v>
      </c>
      <c r="K105" s="16">
        <v>20.0</v>
      </c>
      <c r="L105" s="16">
        <v>12.0</v>
      </c>
      <c r="M105" s="16">
        <v>18.0</v>
      </c>
      <c r="N105" s="19">
        <f t="shared" si="1"/>
        <v>10</v>
      </c>
      <c r="O105" s="20">
        <f t="shared" si="2"/>
        <v>20</v>
      </c>
      <c r="P105" s="21" t="str">
        <f t="shared" si="3"/>
        <v>Com cupom</v>
      </c>
      <c r="Q105" s="23"/>
      <c r="R105" s="23"/>
      <c r="S105" s="23"/>
      <c r="T105" s="23"/>
    </row>
    <row r="106" ht="16.5" customHeight="1">
      <c r="A106" s="14">
        <v>3335.0</v>
      </c>
      <c r="B106" s="14" t="s">
        <v>140</v>
      </c>
      <c r="C106" s="14" t="s">
        <v>33</v>
      </c>
      <c r="D106" s="15">
        <v>45452.0</v>
      </c>
      <c r="E106" s="14" t="s">
        <v>30</v>
      </c>
      <c r="F106" s="16">
        <v>5.0</v>
      </c>
      <c r="G106" s="14" t="s">
        <v>31</v>
      </c>
      <c r="H106" s="14" t="s">
        <v>34</v>
      </c>
      <c r="I106" s="16">
        <v>0.0</v>
      </c>
      <c r="J106" s="14" t="s">
        <v>34</v>
      </c>
      <c r="K106" s="16">
        <v>0.0</v>
      </c>
      <c r="L106" s="16">
        <v>2.0</v>
      </c>
      <c r="M106" s="16">
        <v>3.0</v>
      </c>
      <c r="N106" s="19">
        <f t="shared" si="1"/>
        <v>5</v>
      </c>
      <c r="O106" s="20">
        <f t="shared" si="2"/>
        <v>0</v>
      </c>
      <c r="P106" s="21" t="str">
        <f t="shared" si="3"/>
        <v>Com cupom</v>
      </c>
      <c r="Q106" s="23"/>
      <c r="R106" s="23"/>
      <c r="S106" s="23"/>
      <c r="T106" s="23"/>
    </row>
    <row r="107" ht="16.5" customHeight="1">
      <c r="A107" s="14">
        <v>3336.0</v>
      </c>
      <c r="B107" s="14" t="s">
        <v>141</v>
      </c>
      <c r="C107" s="14" t="s">
        <v>33</v>
      </c>
      <c r="D107" s="15">
        <v>45453.0</v>
      </c>
      <c r="E107" s="14" t="s">
        <v>30</v>
      </c>
      <c r="F107" s="16">
        <v>5.0</v>
      </c>
      <c r="G107" s="14" t="s">
        <v>31</v>
      </c>
      <c r="H107" s="14" t="s">
        <v>34</v>
      </c>
      <c r="I107" s="16">
        <v>0.0</v>
      </c>
      <c r="J107" s="14" t="s">
        <v>34</v>
      </c>
      <c r="K107" s="16">
        <v>0.0</v>
      </c>
      <c r="L107" s="16">
        <v>0.0</v>
      </c>
      <c r="M107" s="16">
        <v>5.0</v>
      </c>
      <c r="N107" s="19">
        <f t="shared" si="1"/>
        <v>5</v>
      </c>
      <c r="O107" s="20">
        <f t="shared" si="2"/>
        <v>0</v>
      </c>
      <c r="P107" s="21" t="str">
        <f t="shared" si="3"/>
        <v>Sem cupom</v>
      </c>
      <c r="Q107" s="23"/>
      <c r="R107" s="23"/>
      <c r="S107" s="23"/>
      <c r="T107" s="23"/>
    </row>
    <row r="108" ht="16.5" customHeight="1">
      <c r="A108" s="14">
        <v>3337.0</v>
      </c>
      <c r="B108" s="14" t="s">
        <v>142</v>
      </c>
      <c r="C108" s="14" t="s">
        <v>29</v>
      </c>
      <c r="D108" s="15">
        <v>45454.0</v>
      </c>
      <c r="E108" s="14" t="s">
        <v>34</v>
      </c>
      <c r="F108" s="16">
        <v>15.0</v>
      </c>
      <c r="G108" s="14" t="s">
        <v>38</v>
      </c>
      <c r="H108" s="14" t="s">
        <v>30</v>
      </c>
      <c r="I108" s="16">
        <v>30.0</v>
      </c>
      <c r="J108" s="14" t="s">
        <v>30</v>
      </c>
      <c r="K108" s="16">
        <v>20.0</v>
      </c>
      <c r="L108" s="16">
        <v>7.0</v>
      </c>
      <c r="M108" s="16">
        <v>58.0</v>
      </c>
      <c r="N108" s="19">
        <f t="shared" si="1"/>
        <v>15</v>
      </c>
      <c r="O108" s="20">
        <f t="shared" si="2"/>
        <v>50</v>
      </c>
      <c r="P108" s="21" t="str">
        <f t="shared" si="3"/>
        <v>Com cupom</v>
      </c>
      <c r="Q108" s="23"/>
      <c r="R108" s="23"/>
      <c r="S108" s="23"/>
      <c r="T108" s="23"/>
    </row>
    <row r="109" ht="16.5" customHeight="1">
      <c r="A109" s="14">
        <v>3338.0</v>
      </c>
      <c r="B109" s="14" t="s">
        <v>143</v>
      </c>
      <c r="C109" s="14" t="s">
        <v>37</v>
      </c>
      <c r="D109" s="15">
        <v>45455.0</v>
      </c>
      <c r="E109" s="14" t="s">
        <v>30</v>
      </c>
      <c r="F109" s="16">
        <v>10.0</v>
      </c>
      <c r="G109" s="14" t="s">
        <v>35</v>
      </c>
      <c r="H109" s="14" t="s">
        <v>34</v>
      </c>
      <c r="I109" s="16">
        <v>0.0</v>
      </c>
      <c r="J109" s="14" t="s">
        <v>30</v>
      </c>
      <c r="K109" s="16">
        <v>20.0</v>
      </c>
      <c r="L109" s="16">
        <v>10.0</v>
      </c>
      <c r="M109" s="16">
        <v>20.0</v>
      </c>
      <c r="N109" s="19">
        <f t="shared" si="1"/>
        <v>10</v>
      </c>
      <c r="O109" s="20">
        <f t="shared" si="2"/>
        <v>20</v>
      </c>
      <c r="P109" s="21" t="str">
        <f t="shared" si="3"/>
        <v>Com cupom</v>
      </c>
      <c r="Q109" s="23"/>
      <c r="R109" s="23"/>
      <c r="S109" s="23"/>
      <c r="T109" s="23"/>
    </row>
    <row r="110" ht="16.5" customHeight="1">
      <c r="A110" s="14">
        <v>3339.0</v>
      </c>
      <c r="B110" s="14" t="s">
        <v>144</v>
      </c>
      <c r="C110" s="14" t="s">
        <v>33</v>
      </c>
      <c r="D110" s="15">
        <v>45456.0</v>
      </c>
      <c r="E110" s="14" t="s">
        <v>34</v>
      </c>
      <c r="F110" s="16">
        <v>5.0</v>
      </c>
      <c r="G110" s="14" t="s">
        <v>38</v>
      </c>
      <c r="H110" s="14" t="s">
        <v>34</v>
      </c>
      <c r="I110" s="16">
        <v>0.0</v>
      </c>
      <c r="J110" s="14" t="s">
        <v>34</v>
      </c>
      <c r="K110" s="16">
        <v>0.0</v>
      </c>
      <c r="L110" s="16">
        <v>1.0</v>
      </c>
      <c r="M110" s="16">
        <v>4.0</v>
      </c>
      <c r="N110" s="19">
        <f t="shared" si="1"/>
        <v>5</v>
      </c>
      <c r="O110" s="20">
        <f t="shared" si="2"/>
        <v>0</v>
      </c>
      <c r="P110" s="21" t="str">
        <f t="shared" si="3"/>
        <v>Com cupom</v>
      </c>
      <c r="Q110" s="23"/>
      <c r="R110" s="23"/>
      <c r="S110" s="23"/>
      <c r="T110" s="23"/>
    </row>
    <row r="111" ht="16.5" customHeight="1">
      <c r="A111" s="14">
        <v>3340.0</v>
      </c>
      <c r="B111" s="14" t="s">
        <v>145</v>
      </c>
      <c r="C111" s="14" t="s">
        <v>29</v>
      </c>
      <c r="D111" s="15">
        <v>45457.0</v>
      </c>
      <c r="E111" s="14" t="s">
        <v>30</v>
      </c>
      <c r="F111" s="16">
        <v>15.0</v>
      </c>
      <c r="G111" s="14" t="s">
        <v>31</v>
      </c>
      <c r="H111" s="14" t="s">
        <v>30</v>
      </c>
      <c r="I111" s="16">
        <v>30.0</v>
      </c>
      <c r="J111" s="14" t="s">
        <v>30</v>
      </c>
      <c r="K111" s="16">
        <v>20.0</v>
      </c>
      <c r="L111" s="16">
        <v>15.0</v>
      </c>
      <c r="M111" s="16">
        <v>50.0</v>
      </c>
      <c r="N111" s="19">
        <f t="shared" si="1"/>
        <v>15</v>
      </c>
      <c r="O111" s="20">
        <f t="shared" si="2"/>
        <v>50</v>
      </c>
      <c r="P111" s="21" t="str">
        <f t="shared" si="3"/>
        <v>Com cupom</v>
      </c>
      <c r="Q111" s="23"/>
      <c r="R111" s="23"/>
      <c r="S111" s="23"/>
      <c r="T111" s="23"/>
    </row>
    <row r="112" ht="16.5" customHeight="1">
      <c r="A112" s="14">
        <v>3341.0</v>
      </c>
      <c r="B112" s="14" t="s">
        <v>146</v>
      </c>
      <c r="C112" s="14" t="s">
        <v>37</v>
      </c>
      <c r="D112" s="15">
        <v>45458.0</v>
      </c>
      <c r="E112" s="14" t="s">
        <v>34</v>
      </c>
      <c r="F112" s="16">
        <v>10.0</v>
      </c>
      <c r="G112" s="14" t="s">
        <v>31</v>
      </c>
      <c r="H112" s="14" t="s">
        <v>34</v>
      </c>
      <c r="I112" s="16">
        <v>0.0</v>
      </c>
      <c r="J112" s="14" t="s">
        <v>30</v>
      </c>
      <c r="K112" s="16">
        <v>20.0</v>
      </c>
      <c r="L112" s="16">
        <v>5.0</v>
      </c>
      <c r="M112" s="16">
        <v>25.0</v>
      </c>
      <c r="N112" s="19">
        <f t="shared" si="1"/>
        <v>10</v>
      </c>
      <c r="O112" s="20">
        <f t="shared" si="2"/>
        <v>20</v>
      </c>
      <c r="P112" s="21" t="str">
        <f t="shared" si="3"/>
        <v>Com cupom</v>
      </c>
      <c r="Q112" s="23"/>
      <c r="R112" s="23"/>
      <c r="S112" s="23"/>
      <c r="T112" s="23"/>
    </row>
    <row r="113" ht="16.5" customHeight="1">
      <c r="A113" s="14">
        <v>3342.0</v>
      </c>
      <c r="B113" s="14" t="s">
        <v>147</v>
      </c>
      <c r="C113" s="14" t="s">
        <v>33</v>
      </c>
      <c r="D113" s="15">
        <v>45459.0</v>
      </c>
      <c r="E113" s="14" t="s">
        <v>30</v>
      </c>
      <c r="F113" s="16">
        <v>5.0</v>
      </c>
      <c r="G113" s="14" t="s">
        <v>35</v>
      </c>
      <c r="H113" s="14" t="s">
        <v>34</v>
      </c>
      <c r="I113" s="16">
        <v>0.0</v>
      </c>
      <c r="J113" s="14" t="s">
        <v>34</v>
      </c>
      <c r="K113" s="16">
        <v>0.0</v>
      </c>
      <c r="L113" s="16">
        <v>0.0</v>
      </c>
      <c r="M113" s="16">
        <v>5.0</v>
      </c>
      <c r="N113" s="19">
        <f t="shared" si="1"/>
        <v>5</v>
      </c>
      <c r="O113" s="20">
        <f t="shared" si="2"/>
        <v>0</v>
      </c>
      <c r="P113" s="21" t="str">
        <f t="shared" si="3"/>
        <v>Sem cupom</v>
      </c>
      <c r="Q113" s="23"/>
      <c r="R113" s="23"/>
      <c r="S113" s="23"/>
      <c r="T113" s="23"/>
    </row>
    <row r="114" ht="16.5" customHeight="1">
      <c r="A114" s="14">
        <v>3343.0</v>
      </c>
      <c r="B114" s="14" t="s">
        <v>148</v>
      </c>
      <c r="C114" s="14" t="s">
        <v>29</v>
      </c>
      <c r="D114" s="15">
        <v>45460.0</v>
      </c>
      <c r="E114" s="14" t="s">
        <v>34</v>
      </c>
      <c r="F114" s="16">
        <v>15.0</v>
      </c>
      <c r="G114" s="14" t="s">
        <v>38</v>
      </c>
      <c r="H114" s="14" t="s">
        <v>30</v>
      </c>
      <c r="I114" s="16">
        <v>30.0</v>
      </c>
      <c r="J114" s="14" t="s">
        <v>30</v>
      </c>
      <c r="K114" s="16">
        <v>20.0</v>
      </c>
      <c r="L114" s="16">
        <v>20.0</v>
      </c>
      <c r="M114" s="16">
        <v>45.0</v>
      </c>
      <c r="N114" s="19">
        <f t="shared" si="1"/>
        <v>15</v>
      </c>
      <c r="O114" s="20">
        <f t="shared" si="2"/>
        <v>50</v>
      </c>
      <c r="P114" s="21" t="str">
        <f t="shared" si="3"/>
        <v>Com cupom</v>
      </c>
      <c r="Q114" s="23"/>
      <c r="R114" s="23"/>
      <c r="S114" s="23"/>
      <c r="T114" s="23"/>
    </row>
    <row r="115" ht="16.5" customHeight="1">
      <c r="A115" s="14">
        <v>3344.0</v>
      </c>
      <c r="B115" s="14" t="s">
        <v>149</v>
      </c>
      <c r="C115" s="14" t="s">
        <v>37</v>
      </c>
      <c r="D115" s="15">
        <v>45461.0</v>
      </c>
      <c r="E115" s="14" t="s">
        <v>30</v>
      </c>
      <c r="F115" s="16">
        <v>10.0</v>
      </c>
      <c r="G115" s="14" t="s">
        <v>38</v>
      </c>
      <c r="H115" s="14" t="s">
        <v>34</v>
      </c>
      <c r="I115" s="16">
        <v>0.0</v>
      </c>
      <c r="J115" s="14" t="s">
        <v>30</v>
      </c>
      <c r="K115" s="16">
        <v>20.0</v>
      </c>
      <c r="L115" s="16">
        <v>12.0</v>
      </c>
      <c r="M115" s="16">
        <v>18.0</v>
      </c>
      <c r="N115" s="19">
        <f t="shared" si="1"/>
        <v>10</v>
      </c>
      <c r="O115" s="20">
        <f t="shared" si="2"/>
        <v>20</v>
      </c>
      <c r="P115" s="21" t="str">
        <f t="shared" si="3"/>
        <v>Com cupom</v>
      </c>
      <c r="Q115" s="23"/>
      <c r="R115" s="23"/>
      <c r="S115" s="23"/>
      <c r="T115" s="23"/>
    </row>
    <row r="116" ht="16.5" customHeight="1">
      <c r="A116" s="14">
        <v>3345.0</v>
      </c>
      <c r="B116" s="14" t="s">
        <v>150</v>
      </c>
      <c r="C116" s="14" t="s">
        <v>33</v>
      </c>
      <c r="D116" s="15">
        <v>45462.0</v>
      </c>
      <c r="E116" s="14" t="s">
        <v>34</v>
      </c>
      <c r="F116" s="16">
        <v>5.0</v>
      </c>
      <c r="G116" s="14" t="s">
        <v>31</v>
      </c>
      <c r="H116" s="14" t="s">
        <v>34</v>
      </c>
      <c r="I116" s="16">
        <v>0.0</v>
      </c>
      <c r="J116" s="14" t="s">
        <v>34</v>
      </c>
      <c r="K116" s="16">
        <v>0.0</v>
      </c>
      <c r="L116" s="16">
        <v>2.0</v>
      </c>
      <c r="M116" s="16">
        <v>3.0</v>
      </c>
      <c r="N116" s="19">
        <f t="shared" si="1"/>
        <v>5</v>
      </c>
      <c r="O116" s="20">
        <f t="shared" si="2"/>
        <v>0</v>
      </c>
      <c r="P116" s="21" t="str">
        <f t="shared" si="3"/>
        <v>Com cupom</v>
      </c>
      <c r="Q116" s="23"/>
      <c r="R116" s="23"/>
      <c r="S116" s="23"/>
      <c r="T116" s="23"/>
    </row>
    <row r="117" ht="16.5" customHeight="1">
      <c r="A117" s="14">
        <v>3346.0</v>
      </c>
      <c r="B117" s="14" t="s">
        <v>151</v>
      </c>
      <c r="C117" s="14" t="s">
        <v>29</v>
      </c>
      <c r="D117" s="15">
        <v>45463.0</v>
      </c>
      <c r="E117" s="14" t="s">
        <v>30</v>
      </c>
      <c r="F117" s="16">
        <v>15.0</v>
      </c>
      <c r="G117" s="14" t="s">
        <v>35</v>
      </c>
      <c r="H117" s="14" t="s">
        <v>30</v>
      </c>
      <c r="I117" s="16">
        <v>30.0</v>
      </c>
      <c r="J117" s="14" t="s">
        <v>30</v>
      </c>
      <c r="K117" s="16">
        <v>20.0</v>
      </c>
      <c r="L117" s="16">
        <v>5.0</v>
      </c>
      <c r="M117" s="16">
        <v>60.0</v>
      </c>
      <c r="N117" s="19">
        <f t="shared" si="1"/>
        <v>15</v>
      </c>
      <c r="O117" s="20">
        <f t="shared" si="2"/>
        <v>50</v>
      </c>
      <c r="P117" s="21" t="str">
        <f t="shared" si="3"/>
        <v>Com cupom</v>
      </c>
      <c r="Q117" s="23"/>
      <c r="R117" s="23"/>
      <c r="S117" s="23"/>
      <c r="T117" s="23"/>
    </row>
    <row r="118" ht="16.5" customHeight="1">
      <c r="A118" s="14">
        <v>3347.0</v>
      </c>
      <c r="B118" s="14" t="s">
        <v>152</v>
      </c>
      <c r="C118" s="14" t="s">
        <v>37</v>
      </c>
      <c r="D118" s="15">
        <v>45464.0</v>
      </c>
      <c r="E118" s="14" t="s">
        <v>34</v>
      </c>
      <c r="F118" s="16">
        <v>10.0</v>
      </c>
      <c r="G118" s="14" t="s">
        <v>31</v>
      </c>
      <c r="H118" s="14" t="s">
        <v>34</v>
      </c>
      <c r="I118" s="16">
        <v>0.0</v>
      </c>
      <c r="J118" s="14" t="s">
        <v>30</v>
      </c>
      <c r="K118" s="16">
        <v>20.0</v>
      </c>
      <c r="L118" s="16">
        <v>10.0</v>
      </c>
      <c r="M118" s="16">
        <v>20.0</v>
      </c>
      <c r="N118" s="19">
        <f t="shared" si="1"/>
        <v>10</v>
      </c>
      <c r="O118" s="20">
        <f t="shared" si="2"/>
        <v>20</v>
      </c>
      <c r="P118" s="21" t="str">
        <f t="shared" si="3"/>
        <v>Com cupom</v>
      </c>
      <c r="Q118" s="23"/>
      <c r="R118" s="23"/>
      <c r="S118" s="23"/>
      <c r="T118" s="23"/>
    </row>
    <row r="119" ht="16.5" customHeight="1">
      <c r="A119" s="14">
        <v>3348.0</v>
      </c>
      <c r="B119" s="14" t="s">
        <v>153</v>
      </c>
      <c r="C119" s="14" t="s">
        <v>33</v>
      </c>
      <c r="D119" s="15">
        <v>45465.0</v>
      </c>
      <c r="E119" s="14" t="s">
        <v>30</v>
      </c>
      <c r="F119" s="16">
        <v>5.0</v>
      </c>
      <c r="G119" s="14" t="s">
        <v>38</v>
      </c>
      <c r="H119" s="14" t="s">
        <v>34</v>
      </c>
      <c r="I119" s="16">
        <v>0.0</v>
      </c>
      <c r="J119" s="14" t="s">
        <v>34</v>
      </c>
      <c r="K119" s="16">
        <v>0.0</v>
      </c>
      <c r="L119" s="16">
        <v>0.0</v>
      </c>
      <c r="M119" s="16">
        <v>5.0</v>
      </c>
      <c r="N119" s="19">
        <f t="shared" si="1"/>
        <v>5</v>
      </c>
      <c r="O119" s="20">
        <f t="shared" si="2"/>
        <v>0</v>
      </c>
      <c r="P119" s="21" t="str">
        <f t="shared" si="3"/>
        <v>Sem cupom</v>
      </c>
      <c r="Q119" s="23"/>
      <c r="R119" s="23"/>
      <c r="S119" s="23"/>
      <c r="T119" s="23"/>
    </row>
    <row r="120" ht="16.5" customHeight="1">
      <c r="A120" s="14">
        <v>3349.0</v>
      </c>
      <c r="B120" s="14" t="s">
        <v>129</v>
      </c>
      <c r="C120" s="14" t="s">
        <v>29</v>
      </c>
      <c r="D120" s="15">
        <v>45466.0</v>
      </c>
      <c r="E120" s="14" t="s">
        <v>34</v>
      </c>
      <c r="F120" s="16">
        <v>15.0</v>
      </c>
      <c r="G120" s="14" t="s">
        <v>31</v>
      </c>
      <c r="H120" s="14" t="s">
        <v>30</v>
      </c>
      <c r="I120" s="16">
        <v>30.0</v>
      </c>
      <c r="J120" s="14" t="s">
        <v>30</v>
      </c>
      <c r="K120" s="16">
        <v>20.0</v>
      </c>
      <c r="L120" s="16">
        <v>3.0</v>
      </c>
      <c r="M120" s="16">
        <v>62.0</v>
      </c>
      <c r="N120" s="19">
        <f t="shared" si="1"/>
        <v>15</v>
      </c>
      <c r="O120" s="20">
        <f t="shared" si="2"/>
        <v>50</v>
      </c>
      <c r="P120" s="21" t="str">
        <f t="shared" si="3"/>
        <v>Com cupom</v>
      </c>
      <c r="Q120" s="23"/>
      <c r="R120" s="23"/>
      <c r="S120" s="23"/>
      <c r="T120" s="23"/>
    </row>
    <row r="121" ht="16.5" customHeight="1">
      <c r="A121" s="14">
        <v>3350.0</v>
      </c>
      <c r="B121" s="14" t="s">
        <v>154</v>
      </c>
      <c r="C121" s="14" t="s">
        <v>37</v>
      </c>
      <c r="D121" s="15">
        <v>45467.0</v>
      </c>
      <c r="E121" s="14" t="s">
        <v>30</v>
      </c>
      <c r="F121" s="16">
        <v>10.0</v>
      </c>
      <c r="G121" s="14" t="s">
        <v>35</v>
      </c>
      <c r="H121" s="14" t="s">
        <v>34</v>
      </c>
      <c r="I121" s="16">
        <v>0.0</v>
      </c>
      <c r="J121" s="14" t="s">
        <v>30</v>
      </c>
      <c r="K121" s="16">
        <v>20.0</v>
      </c>
      <c r="L121" s="16">
        <v>15.0</v>
      </c>
      <c r="M121" s="16">
        <v>15.0</v>
      </c>
      <c r="N121" s="19">
        <f t="shared" si="1"/>
        <v>10</v>
      </c>
      <c r="O121" s="20">
        <f t="shared" si="2"/>
        <v>20</v>
      </c>
      <c r="P121" s="21" t="str">
        <f t="shared" si="3"/>
        <v>Com cupom</v>
      </c>
      <c r="Q121" s="23"/>
      <c r="R121" s="23"/>
      <c r="S121" s="23"/>
      <c r="T121" s="23"/>
    </row>
    <row r="122" ht="16.5" customHeight="1">
      <c r="A122" s="14">
        <v>3351.0</v>
      </c>
      <c r="B122" s="14" t="s">
        <v>155</v>
      </c>
      <c r="C122" s="14" t="s">
        <v>33</v>
      </c>
      <c r="D122" s="15">
        <v>45468.0</v>
      </c>
      <c r="E122" s="14" t="s">
        <v>34</v>
      </c>
      <c r="F122" s="16">
        <v>5.0</v>
      </c>
      <c r="G122" s="14" t="s">
        <v>31</v>
      </c>
      <c r="H122" s="14" t="s">
        <v>34</v>
      </c>
      <c r="I122" s="16">
        <v>0.0</v>
      </c>
      <c r="J122" s="14" t="s">
        <v>34</v>
      </c>
      <c r="K122" s="16">
        <v>0.0</v>
      </c>
      <c r="L122" s="16">
        <v>1.0</v>
      </c>
      <c r="M122" s="16">
        <v>4.0</v>
      </c>
      <c r="N122" s="19">
        <f t="shared" si="1"/>
        <v>5</v>
      </c>
      <c r="O122" s="20">
        <f t="shared" si="2"/>
        <v>0</v>
      </c>
      <c r="P122" s="21" t="str">
        <f t="shared" si="3"/>
        <v>Com cupom</v>
      </c>
      <c r="Q122" s="23"/>
      <c r="R122" s="23"/>
      <c r="S122" s="23"/>
      <c r="T122" s="23"/>
    </row>
    <row r="123" ht="16.5" customHeight="1">
      <c r="A123" s="14">
        <v>3352.0</v>
      </c>
      <c r="B123" s="14" t="s">
        <v>156</v>
      </c>
      <c r="C123" s="14" t="s">
        <v>29</v>
      </c>
      <c r="D123" s="15">
        <v>45469.0</v>
      </c>
      <c r="E123" s="14" t="s">
        <v>30</v>
      </c>
      <c r="F123" s="16">
        <v>15.0</v>
      </c>
      <c r="G123" s="14" t="s">
        <v>38</v>
      </c>
      <c r="H123" s="14" t="s">
        <v>30</v>
      </c>
      <c r="I123" s="16">
        <v>30.0</v>
      </c>
      <c r="J123" s="14" t="s">
        <v>30</v>
      </c>
      <c r="K123" s="16">
        <v>20.0</v>
      </c>
      <c r="L123" s="16">
        <v>7.0</v>
      </c>
      <c r="M123" s="16">
        <v>58.0</v>
      </c>
      <c r="N123" s="19">
        <f t="shared" si="1"/>
        <v>15</v>
      </c>
      <c r="O123" s="20">
        <f t="shared" si="2"/>
        <v>50</v>
      </c>
      <c r="P123" s="21" t="str">
        <f t="shared" si="3"/>
        <v>Com cupom</v>
      </c>
      <c r="Q123" s="23"/>
      <c r="R123" s="23"/>
      <c r="S123" s="23"/>
      <c r="T123" s="23"/>
    </row>
    <row r="124" ht="16.5" customHeight="1">
      <c r="A124" s="14">
        <v>3353.0</v>
      </c>
      <c r="B124" s="14" t="s">
        <v>157</v>
      </c>
      <c r="C124" s="14" t="s">
        <v>37</v>
      </c>
      <c r="D124" s="15">
        <v>45470.0</v>
      </c>
      <c r="E124" s="14" t="s">
        <v>34</v>
      </c>
      <c r="F124" s="16">
        <v>10.0</v>
      </c>
      <c r="G124" s="14" t="s">
        <v>31</v>
      </c>
      <c r="H124" s="14" t="s">
        <v>34</v>
      </c>
      <c r="I124" s="16">
        <v>0.0</v>
      </c>
      <c r="J124" s="14" t="s">
        <v>30</v>
      </c>
      <c r="K124" s="16">
        <v>20.0</v>
      </c>
      <c r="L124" s="16">
        <v>10.0</v>
      </c>
      <c r="M124" s="16">
        <v>20.0</v>
      </c>
      <c r="N124" s="19">
        <f t="shared" si="1"/>
        <v>10</v>
      </c>
      <c r="O124" s="20">
        <f t="shared" si="2"/>
        <v>20</v>
      </c>
      <c r="P124" s="21" t="str">
        <f t="shared" si="3"/>
        <v>Com cupom</v>
      </c>
      <c r="Q124" s="23"/>
      <c r="R124" s="23"/>
      <c r="S124" s="23"/>
      <c r="T124" s="23"/>
    </row>
    <row r="125" ht="16.5" customHeight="1">
      <c r="A125" s="14">
        <v>3354.0</v>
      </c>
      <c r="B125" s="14" t="s">
        <v>158</v>
      </c>
      <c r="C125" s="14" t="s">
        <v>33</v>
      </c>
      <c r="D125" s="15">
        <v>45471.0</v>
      </c>
      <c r="E125" s="14" t="s">
        <v>30</v>
      </c>
      <c r="F125" s="16">
        <v>5.0</v>
      </c>
      <c r="G125" s="14" t="s">
        <v>35</v>
      </c>
      <c r="H125" s="14" t="s">
        <v>34</v>
      </c>
      <c r="I125" s="16">
        <v>0.0</v>
      </c>
      <c r="J125" s="14" t="s">
        <v>34</v>
      </c>
      <c r="K125" s="16">
        <v>0.0</v>
      </c>
      <c r="L125" s="16">
        <v>0.0</v>
      </c>
      <c r="M125" s="16">
        <v>5.0</v>
      </c>
      <c r="N125" s="19">
        <f t="shared" si="1"/>
        <v>5</v>
      </c>
      <c r="O125" s="20">
        <f t="shared" si="2"/>
        <v>0</v>
      </c>
      <c r="P125" s="21" t="str">
        <f t="shared" si="3"/>
        <v>Sem cupom</v>
      </c>
      <c r="Q125" s="23"/>
      <c r="R125" s="23"/>
      <c r="S125" s="23"/>
      <c r="T125" s="23"/>
    </row>
    <row r="126" ht="16.5" customHeight="1">
      <c r="A126" s="14">
        <v>3355.0</v>
      </c>
      <c r="B126" s="14" t="s">
        <v>159</v>
      </c>
      <c r="C126" s="14" t="s">
        <v>29</v>
      </c>
      <c r="D126" s="15">
        <v>45472.0</v>
      </c>
      <c r="E126" s="14" t="s">
        <v>34</v>
      </c>
      <c r="F126" s="16">
        <v>15.0</v>
      </c>
      <c r="G126" s="14" t="s">
        <v>31</v>
      </c>
      <c r="H126" s="14" t="s">
        <v>30</v>
      </c>
      <c r="I126" s="16">
        <v>30.0</v>
      </c>
      <c r="J126" s="14" t="s">
        <v>30</v>
      </c>
      <c r="K126" s="16">
        <v>20.0</v>
      </c>
      <c r="L126" s="16">
        <v>20.0</v>
      </c>
      <c r="M126" s="16">
        <v>45.0</v>
      </c>
      <c r="N126" s="19">
        <f t="shared" si="1"/>
        <v>15</v>
      </c>
      <c r="O126" s="20">
        <f t="shared" si="2"/>
        <v>50</v>
      </c>
      <c r="P126" s="21" t="str">
        <f t="shared" si="3"/>
        <v>Com cupom</v>
      </c>
      <c r="Q126" s="23"/>
      <c r="R126" s="23"/>
      <c r="S126" s="23"/>
      <c r="T126" s="23"/>
    </row>
    <row r="127" ht="16.5" customHeight="1">
      <c r="A127" s="14">
        <v>3356.0</v>
      </c>
      <c r="B127" s="14" t="s">
        <v>160</v>
      </c>
      <c r="C127" s="14" t="s">
        <v>37</v>
      </c>
      <c r="D127" s="15">
        <v>45473.0</v>
      </c>
      <c r="E127" s="14" t="s">
        <v>30</v>
      </c>
      <c r="F127" s="16">
        <v>10.0</v>
      </c>
      <c r="G127" s="14" t="s">
        <v>38</v>
      </c>
      <c r="H127" s="14" t="s">
        <v>34</v>
      </c>
      <c r="I127" s="16">
        <v>0.0</v>
      </c>
      <c r="J127" s="14" t="s">
        <v>30</v>
      </c>
      <c r="K127" s="16">
        <v>20.0</v>
      </c>
      <c r="L127" s="16">
        <v>15.0</v>
      </c>
      <c r="M127" s="16">
        <v>15.0</v>
      </c>
      <c r="N127" s="19">
        <f t="shared" si="1"/>
        <v>10</v>
      </c>
      <c r="O127" s="20">
        <f t="shared" si="2"/>
        <v>20</v>
      </c>
      <c r="P127" s="21" t="str">
        <f t="shared" si="3"/>
        <v>Com cupom</v>
      </c>
      <c r="Q127" s="23"/>
      <c r="R127" s="23"/>
      <c r="S127" s="23"/>
      <c r="T127" s="23"/>
    </row>
    <row r="128" ht="16.5" customHeight="1">
      <c r="A128" s="14">
        <v>3357.0</v>
      </c>
      <c r="B128" s="14" t="s">
        <v>161</v>
      </c>
      <c r="C128" s="14" t="s">
        <v>33</v>
      </c>
      <c r="D128" s="15">
        <v>45474.0</v>
      </c>
      <c r="E128" s="14" t="s">
        <v>34</v>
      </c>
      <c r="F128" s="16">
        <v>5.0</v>
      </c>
      <c r="G128" s="14" t="s">
        <v>31</v>
      </c>
      <c r="H128" s="14" t="s">
        <v>34</v>
      </c>
      <c r="I128" s="16">
        <v>0.0</v>
      </c>
      <c r="J128" s="14" t="s">
        <v>34</v>
      </c>
      <c r="K128" s="16">
        <v>0.0</v>
      </c>
      <c r="L128" s="16">
        <v>1.0</v>
      </c>
      <c r="M128" s="16">
        <v>4.0</v>
      </c>
      <c r="N128" s="19">
        <f t="shared" si="1"/>
        <v>5</v>
      </c>
      <c r="O128" s="20">
        <f t="shared" si="2"/>
        <v>0</v>
      </c>
      <c r="P128" s="21" t="str">
        <f t="shared" si="3"/>
        <v>Com cupom</v>
      </c>
      <c r="Q128" s="23"/>
      <c r="R128" s="23"/>
      <c r="S128" s="23"/>
      <c r="T128" s="23"/>
    </row>
    <row r="129" ht="16.5" customHeight="1">
      <c r="A129" s="14">
        <v>3358.0</v>
      </c>
      <c r="B129" s="14" t="s">
        <v>162</v>
      </c>
      <c r="C129" s="14" t="s">
        <v>29</v>
      </c>
      <c r="D129" s="15">
        <v>45475.0</v>
      </c>
      <c r="E129" s="14" t="s">
        <v>30</v>
      </c>
      <c r="F129" s="16">
        <v>15.0</v>
      </c>
      <c r="G129" s="14" t="s">
        <v>35</v>
      </c>
      <c r="H129" s="14" t="s">
        <v>30</v>
      </c>
      <c r="I129" s="16">
        <v>30.0</v>
      </c>
      <c r="J129" s="14" t="s">
        <v>30</v>
      </c>
      <c r="K129" s="16">
        <v>20.0</v>
      </c>
      <c r="L129" s="16">
        <v>3.0</v>
      </c>
      <c r="M129" s="16">
        <v>62.0</v>
      </c>
      <c r="N129" s="19">
        <f t="shared" si="1"/>
        <v>15</v>
      </c>
      <c r="O129" s="20">
        <f t="shared" si="2"/>
        <v>50</v>
      </c>
      <c r="P129" s="21" t="str">
        <f t="shared" si="3"/>
        <v>Com cupom</v>
      </c>
      <c r="Q129" s="23"/>
      <c r="R129" s="23"/>
      <c r="S129" s="23"/>
      <c r="T129" s="23"/>
    </row>
    <row r="130" ht="16.5" customHeight="1">
      <c r="A130" s="14">
        <v>3359.0</v>
      </c>
      <c r="B130" s="14" t="s">
        <v>163</v>
      </c>
      <c r="C130" s="14" t="s">
        <v>37</v>
      </c>
      <c r="D130" s="15">
        <v>45476.0</v>
      </c>
      <c r="E130" s="14" t="s">
        <v>34</v>
      </c>
      <c r="F130" s="16">
        <v>10.0</v>
      </c>
      <c r="G130" s="14" t="s">
        <v>31</v>
      </c>
      <c r="H130" s="14" t="s">
        <v>34</v>
      </c>
      <c r="I130" s="16">
        <v>0.0</v>
      </c>
      <c r="J130" s="14" t="s">
        <v>30</v>
      </c>
      <c r="K130" s="16">
        <v>20.0</v>
      </c>
      <c r="L130" s="16">
        <v>10.0</v>
      </c>
      <c r="M130" s="16">
        <v>20.0</v>
      </c>
      <c r="N130" s="19">
        <f t="shared" si="1"/>
        <v>10</v>
      </c>
      <c r="O130" s="20">
        <f t="shared" si="2"/>
        <v>20</v>
      </c>
      <c r="P130" s="21" t="str">
        <f t="shared" si="3"/>
        <v>Com cupom</v>
      </c>
      <c r="Q130" s="23"/>
      <c r="R130" s="23"/>
      <c r="S130" s="23"/>
      <c r="T130" s="23"/>
    </row>
    <row r="131" ht="16.5" customHeight="1">
      <c r="A131" s="14">
        <v>3360.0</v>
      </c>
      <c r="B131" s="14" t="s">
        <v>164</v>
      </c>
      <c r="C131" s="14" t="s">
        <v>33</v>
      </c>
      <c r="D131" s="15">
        <v>45477.0</v>
      </c>
      <c r="E131" s="14" t="s">
        <v>30</v>
      </c>
      <c r="F131" s="16">
        <v>5.0</v>
      </c>
      <c r="G131" s="14" t="s">
        <v>38</v>
      </c>
      <c r="H131" s="14" t="s">
        <v>34</v>
      </c>
      <c r="I131" s="16">
        <v>0.0</v>
      </c>
      <c r="J131" s="14" t="s">
        <v>34</v>
      </c>
      <c r="K131" s="16">
        <v>0.0</v>
      </c>
      <c r="L131" s="16">
        <v>0.0</v>
      </c>
      <c r="M131" s="16">
        <v>5.0</v>
      </c>
      <c r="N131" s="19">
        <f t="shared" si="1"/>
        <v>5</v>
      </c>
      <c r="O131" s="20">
        <f t="shared" si="2"/>
        <v>0</v>
      </c>
      <c r="P131" s="21" t="str">
        <f t="shared" si="3"/>
        <v>Sem cupom</v>
      </c>
      <c r="Q131" s="23"/>
      <c r="R131" s="23"/>
      <c r="S131" s="23"/>
      <c r="T131" s="23"/>
    </row>
    <row r="132" ht="16.5" customHeight="1">
      <c r="A132" s="14">
        <v>3361.0</v>
      </c>
      <c r="B132" s="14" t="s">
        <v>165</v>
      </c>
      <c r="C132" s="14" t="s">
        <v>29</v>
      </c>
      <c r="D132" s="15">
        <v>45478.0</v>
      </c>
      <c r="E132" s="14" t="s">
        <v>34</v>
      </c>
      <c r="F132" s="16">
        <v>15.0</v>
      </c>
      <c r="G132" s="14" t="s">
        <v>31</v>
      </c>
      <c r="H132" s="14" t="s">
        <v>30</v>
      </c>
      <c r="I132" s="16">
        <v>30.0</v>
      </c>
      <c r="J132" s="14" t="s">
        <v>30</v>
      </c>
      <c r="K132" s="16">
        <v>20.0</v>
      </c>
      <c r="L132" s="16">
        <v>15.0</v>
      </c>
      <c r="M132" s="16">
        <v>50.0</v>
      </c>
      <c r="N132" s="19">
        <f t="shared" si="1"/>
        <v>15</v>
      </c>
      <c r="O132" s="20">
        <f t="shared" si="2"/>
        <v>50</v>
      </c>
      <c r="P132" s="21" t="str">
        <f t="shared" si="3"/>
        <v>Com cupom</v>
      </c>
      <c r="Q132" s="23"/>
      <c r="R132" s="23"/>
      <c r="S132" s="23"/>
      <c r="T132" s="23"/>
    </row>
    <row r="133" ht="16.5" customHeight="1">
      <c r="A133" s="14">
        <v>3362.0</v>
      </c>
      <c r="B133" s="14" t="s">
        <v>166</v>
      </c>
      <c r="C133" s="14" t="s">
        <v>37</v>
      </c>
      <c r="D133" s="15">
        <v>45479.0</v>
      </c>
      <c r="E133" s="14" t="s">
        <v>30</v>
      </c>
      <c r="F133" s="16">
        <v>10.0</v>
      </c>
      <c r="G133" s="14" t="s">
        <v>35</v>
      </c>
      <c r="H133" s="14" t="s">
        <v>34</v>
      </c>
      <c r="I133" s="16">
        <v>0.0</v>
      </c>
      <c r="J133" s="14" t="s">
        <v>30</v>
      </c>
      <c r="K133" s="16">
        <v>20.0</v>
      </c>
      <c r="L133" s="16">
        <v>15.0</v>
      </c>
      <c r="M133" s="16">
        <v>15.0</v>
      </c>
      <c r="N133" s="19">
        <f t="shared" si="1"/>
        <v>10</v>
      </c>
      <c r="O133" s="20">
        <f t="shared" si="2"/>
        <v>20</v>
      </c>
      <c r="P133" s="21" t="str">
        <f t="shared" si="3"/>
        <v>Com cupom</v>
      </c>
      <c r="Q133" s="23"/>
      <c r="R133" s="23"/>
      <c r="S133" s="23"/>
      <c r="T133" s="23"/>
    </row>
    <row r="134" ht="16.5" customHeight="1">
      <c r="A134" s="14">
        <v>3363.0</v>
      </c>
      <c r="B134" s="14" t="s">
        <v>167</v>
      </c>
      <c r="C134" s="14" t="s">
        <v>33</v>
      </c>
      <c r="D134" s="15">
        <v>45480.0</v>
      </c>
      <c r="E134" s="14" t="s">
        <v>34</v>
      </c>
      <c r="F134" s="16">
        <v>5.0</v>
      </c>
      <c r="G134" s="14" t="s">
        <v>31</v>
      </c>
      <c r="H134" s="14" t="s">
        <v>34</v>
      </c>
      <c r="I134" s="16">
        <v>0.0</v>
      </c>
      <c r="J134" s="14" t="s">
        <v>34</v>
      </c>
      <c r="K134" s="16">
        <v>0.0</v>
      </c>
      <c r="L134" s="16">
        <v>1.0</v>
      </c>
      <c r="M134" s="16">
        <v>4.0</v>
      </c>
      <c r="N134" s="19">
        <f t="shared" si="1"/>
        <v>5</v>
      </c>
      <c r="O134" s="20">
        <f t="shared" si="2"/>
        <v>0</v>
      </c>
      <c r="P134" s="21" t="str">
        <f t="shared" si="3"/>
        <v>Com cupom</v>
      </c>
      <c r="Q134" s="23"/>
      <c r="R134" s="23"/>
      <c r="S134" s="23"/>
      <c r="T134" s="23"/>
    </row>
    <row r="135" ht="16.5" customHeight="1">
      <c r="A135" s="14">
        <v>3364.0</v>
      </c>
      <c r="B135" s="14" t="s">
        <v>168</v>
      </c>
      <c r="C135" s="14" t="s">
        <v>29</v>
      </c>
      <c r="D135" s="15">
        <v>45481.0</v>
      </c>
      <c r="E135" s="14" t="s">
        <v>30</v>
      </c>
      <c r="F135" s="16">
        <v>15.0</v>
      </c>
      <c r="G135" s="14" t="s">
        <v>38</v>
      </c>
      <c r="H135" s="14" t="s">
        <v>30</v>
      </c>
      <c r="I135" s="16">
        <v>30.0</v>
      </c>
      <c r="J135" s="14" t="s">
        <v>30</v>
      </c>
      <c r="K135" s="16">
        <v>20.0</v>
      </c>
      <c r="L135" s="16">
        <v>7.0</v>
      </c>
      <c r="M135" s="16">
        <v>58.0</v>
      </c>
      <c r="N135" s="19">
        <f t="shared" si="1"/>
        <v>15</v>
      </c>
      <c r="O135" s="20">
        <f t="shared" si="2"/>
        <v>50</v>
      </c>
      <c r="P135" s="21" t="str">
        <f t="shared" si="3"/>
        <v>Com cupom</v>
      </c>
      <c r="Q135" s="23"/>
      <c r="R135" s="23"/>
      <c r="S135" s="23"/>
      <c r="T135" s="23"/>
    </row>
    <row r="136" ht="16.5" customHeight="1">
      <c r="A136" s="14">
        <v>3365.0</v>
      </c>
      <c r="B136" s="14" t="s">
        <v>169</v>
      </c>
      <c r="C136" s="14" t="s">
        <v>37</v>
      </c>
      <c r="D136" s="15">
        <v>45482.0</v>
      </c>
      <c r="E136" s="14" t="s">
        <v>34</v>
      </c>
      <c r="F136" s="16">
        <v>10.0</v>
      </c>
      <c r="G136" s="14" t="s">
        <v>31</v>
      </c>
      <c r="H136" s="14" t="s">
        <v>34</v>
      </c>
      <c r="I136" s="16">
        <v>0.0</v>
      </c>
      <c r="J136" s="14" t="s">
        <v>30</v>
      </c>
      <c r="K136" s="16">
        <v>20.0</v>
      </c>
      <c r="L136" s="16">
        <v>10.0</v>
      </c>
      <c r="M136" s="16">
        <v>20.0</v>
      </c>
      <c r="N136" s="19">
        <f t="shared" si="1"/>
        <v>10</v>
      </c>
      <c r="O136" s="20">
        <f t="shared" si="2"/>
        <v>20</v>
      </c>
      <c r="P136" s="21" t="str">
        <f t="shared" si="3"/>
        <v>Com cupom</v>
      </c>
      <c r="Q136" s="23"/>
      <c r="R136" s="23"/>
      <c r="S136" s="23"/>
      <c r="T136" s="23"/>
    </row>
    <row r="137" ht="16.5" customHeight="1">
      <c r="A137" s="14">
        <v>3366.0</v>
      </c>
      <c r="B137" s="14" t="s">
        <v>170</v>
      </c>
      <c r="C137" s="14" t="s">
        <v>33</v>
      </c>
      <c r="D137" s="15">
        <v>45483.0</v>
      </c>
      <c r="E137" s="14" t="s">
        <v>30</v>
      </c>
      <c r="F137" s="16">
        <v>5.0</v>
      </c>
      <c r="G137" s="14" t="s">
        <v>31</v>
      </c>
      <c r="H137" s="14" t="s">
        <v>34</v>
      </c>
      <c r="I137" s="16">
        <v>0.0</v>
      </c>
      <c r="J137" s="14" t="s">
        <v>34</v>
      </c>
      <c r="K137" s="16">
        <v>0.0</v>
      </c>
      <c r="L137" s="16">
        <v>0.0</v>
      </c>
      <c r="M137" s="16">
        <v>5.0</v>
      </c>
      <c r="N137" s="19">
        <f t="shared" si="1"/>
        <v>5</v>
      </c>
      <c r="O137" s="20">
        <f t="shared" si="2"/>
        <v>0</v>
      </c>
      <c r="P137" s="21" t="str">
        <f t="shared" si="3"/>
        <v>Sem cupom</v>
      </c>
      <c r="Q137" s="23"/>
      <c r="R137" s="23"/>
      <c r="S137" s="23"/>
      <c r="T137" s="23"/>
    </row>
    <row r="138" ht="16.5" customHeight="1">
      <c r="A138" s="14">
        <v>3367.0</v>
      </c>
      <c r="B138" s="14" t="s">
        <v>171</v>
      </c>
      <c r="C138" s="14" t="s">
        <v>29</v>
      </c>
      <c r="D138" s="15">
        <v>45484.0</v>
      </c>
      <c r="E138" s="14" t="s">
        <v>34</v>
      </c>
      <c r="F138" s="16">
        <v>15.0</v>
      </c>
      <c r="G138" s="14" t="s">
        <v>38</v>
      </c>
      <c r="H138" s="14" t="s">
        <v>30</v>
      </c>
      <c r="I138" s="16">
        <v>30.0</v>
      </c>
      <c r="J138" s="14" t="s">
        <v>30</v>
      </c>
      <c r="K138" s="16">
        <v>20.0</v>
      </c>
      <c r="L138" s="16">
        <v>7.0</v>
      </c>
      <c r="M138" s="16">
        <v>58.0</v>
      </c>
      <c r="N138" s="19">
        <f t="shared" si="1"/>
        <v>15</v>
      </c>
      <c r="O138" s="20">
        <f t="shared" si="2"/>
        <v>50</v>
      </c>
      <c r="P138" s="21" t="str">
        <f t="shared" si="3"/>
        <v>Com cupom</v>
      </c>
      <c r="Q138" s="23"/>
      <c r="R138" s="23"/>
      <c r="S138" s="23"/>
      <c r="T138" s="23"/>
    </row>
    <row r="139" ht="16.5" customHeight="1">
      <c r="A139" s="14">
        <v>3368.0</v>
      </c>
      <c r="B139" s="14" t="s">
        <v>172</v>
      </c>
      <c r="C139" s="14" t="s">
        <v>37</v>
      </c>
      <c r="D139" s="15">
        <v>45485.0</v>
      </c>
      <c r="E139" s="14" t="s">
        <v>30</v>
      </c>
      <c r="F139" s="16">
        <v>10.0</v>
      </c>
      <c r="G139" s="14" t="s">
        <v>35</v>
      </c>
      <c r="H139" s="14" t="s">
        <v>34</v>
      </c>
      <c r="I139" s="16">
        <v>0.0</v>
      </c>
      <c r="J139" s="14" t="s">
        <v>30</v>
      </c>
      <c r="K139" s="16">
        <v>20.0</v>
      </c>
      <c r="L139" s="16">
        <v>10.0</v>
      </c>
      <c r="M139" s="16">
        <v>20.0</v>
      </c>
      <c r="N139" s="19">
        <f t="shared" si="1"/>
        <v>10</v>
      </c>
      <c r="O139" s="20">
        <f t="shared" si="2"/>
        <v>20</v>
      </c>
      <c r="P139" s="21" t="str">
        <f t="shared" si="3"/>
        <v>Com cupom</v>
      </c>
      <c r="Q139" s="23"/>
      <c r="R139" s="23"/>
      <c r="S139" s="23"/>
      <c r="T139" s="23"/>
    </row>
    <row r="140" ht="16.5" customHeight="1">
      <c r="A140" s="14">
        <v>3369.0</v>
      </c>
      <c r="B140" s="14" t="s">
        <v>173</v>
      </c>
      <c r="C140" s="14" t="s">
        <v>33</v>
      </c>
      <c r="D140" s="15">
        <v>45486.0</v>
      </c>
      <c r="E140" s="14" t="s">
        <v>34</v>
      </c>
      <c r="F140" s="16">
        <v>5.0</v>
      </c>
      <c r="G140" s="14" t="s">
        <v>38</v>
      </c>
      <c r="H140" s="14" t="s">
        <v>34</v>
      </c>
      <c r="I140" s="16">
        <v>0.0</v>
      </c>
      <c r="J140" s="14" t="s">
        <v>34</v>
      </c>
      <c r="K140" s="16">
        <v>0.0</v>
      </c>
      <c r="L140" s="16">
        <v>1.0</v>
      </c>
      <c r="M140" s="16">
        <v>4.0</v>
      </c>
      <c r="N140" s="19">
        <f t="shared" si="1"/>
        <v>5</v>
      </c>
      <c r="O140" s="20">
        <f t="shared" si="2"/>
        <v>0</v>
      </c>
      <c r="P140" s="21" t="str">
        <f t="shared" si="3"/>
        <v>Com cupom</v>
      </c>
      <c r="Q140" s="23"/>
      <c r="R140" s="23"/>
      <c r="S140" s="23"/>
      <c r="T140" s="23"/>
    </row>
    <row r="141" ht="16.5" customHeight="1">
      <c r="A141" s="14">
        <v>3370.0</v>
      </c>
      <c r="B141" s="14" t="s">
        <v>174</v>
      </c>
      <c r="C141" s="14" t="s">
        <v>29</v>
      </c>
      <c r="D141" s="15">
        <v>45487.0</v>
      </c>
      <c r="E141" s="14" t="s">
        <v>30</v>
      </c>
      <c r="F141" s="16">
        <v>15.0</v>
      </c>
      <c r="G141" s="14" t="s">
        <v>31</v>
      </c>
      <c r="H141" s="14" t="s">
        <v>30</v>
      </c>
      <c r="I141" s="16">
        <v>30.0</v>
      </c>
      <c r="J141" s="14" t="s">
        <v>30</v>
      </c>
      <c r="K141" s="16">
        <v>20.0</v>
      </c>
      <c r="L141" s="16">
        <v>15.0</v>
      </c>
      <c r="M141" s="16">
        <v>50.0</v>
      </c>
      <c r="N141" s="19">
        <f t="shared" si="1"/>
        <v>15</v>
      </c>
      <c r="O141" s="20">
        <f t="shared" si="2"/>
        <v>50</v>
      </c>
      <c r="P141" s="21" t="str">
        <f t="shared" si="3"/>
        <v>Com cupom</v>
      </c>
      <c r="Q141" s="23"/>
      <c r="R141" s="23"/>
      <c r="S141" s="23"/>
      <c r="T141" s="23"/>
    </row>
    <row r="142" ht="16.5" customHeight="1">
      <c r="A142" s="14">
        <v>3371.0</v>
      </c>
      <c r="B142" s="14" t="s">
        <v>175</v>
      </c>
      <c r="C142" s="14" t="s">
        <v>37</v>
      </c>
      <c r="D142" s="15">
        <v>45488.0</v>
      </c>
      <c r="E142" s="14" t="s">
        <v>34</v>
      </c>
      <c r="F142" s="16">
        <v>10.0</v>
      </c>
      <c r="G142" s="14" t="s">
        <v>31</v>
      </c>
      <c r="H142" s="14" t="s">
        <v>34</v>
      </c>
      <c r="I142" s="16">
        <v>0.0</v>
      </c>
      <c r="J142" s="14" t="s">
        <v>30</v>
      </c>
      <c r="K142" s="16">
        <v>20.0</v>
      </c>
      <c r="L142" s="16">
        <v>5.0</v>
      </c>
      <c r="M142" s="16">
        <v>25.0</v>
      </c>
      <c r="N142" s="19">
        <f t="shared" si="1"/>
        <v>10</v>
      </c>
      <c r="O142" s="20">
        <f t="shared" si="2"/>
        <v>20</v>
      </c>
      <c r="P142" s="21" t="str">
        <f t="shared" si="3"/>
        <v>Com cupom</v>
      </c>
      <c r="Q142" s="23"/>
      <c r="R142" s="23"/>
      <c r="S142" s="23"/>
      <c r="T142" s="23"/>
    </row>
    <row r="143" ht="16.5" customHeight="1">
      <c r="A143" s="14">
        <v>3372.0</v>
      </c>
      <c r="B143" s="14" t="s">
        <v>176</v>
      </c>
      <c r="C143" s="14" t="s">
        <v>33</v>
      </c>
      <c r="D143" s="15">
        <v>45489.0</v>
      </c>
      <c r="E143" s="14" t="s">
        <v>30</v>
      </c>
      <c r="F143" s="16">
        <v>5.0</v>
      </c>
      <c r="G143" s="14" t="s">
        <v>35</v>
      </c>
      <c r="H143" s="14" t="s">
        <v>34</v>
      </c>
      <c r="I143" s="16">
        <v>0.0</v>
      </c>
      <c r="J143" s="14" t="s">
        <v>34</v>
      </c>
      <c r="K143" s="16">
        <v>0.0</v>
      </c>
      <c r="L143" s="16">
        <v>0.0</v>
      </c>
      <c r="M143" s="16">
        <v>5.0</v>
      </c>
      <c r="N143" s="19">
        <f t="shared" si="1"/>
        <v>5</v>
      </c>
      <c r="O143" s="20">
        <f t="shared" si="2"/>
        <v>0</v>
      </c>
      <c r="P143" s="21" t="str">
        <f t="shared" si="3"/>
        <v>Sem cupom</v>
      </c>
      <c r="Q143" s="23"/>
      <c r="R143" s="23"/>
      <c r="S143" s="23"/>
      <c r="T143" s="23"/>
    </row>
    <row r="144" ht="16.5" customHeight="1">
      <c r="A144" s="14">
        <v>3373.0</v>
      </c>
      <c r="B144" s="14" t="s">
        <v>177</v>
      </c>
      <c r="C144" s="14" t="s">
        <v>29</v>
      </c>
      <c r="D144" s="15">
        <v>45490.0</v>
      </c>
      <c r="E144" s="14" t="s">
        <v>34</v>
      </c>
      <c r="F144" s="16">
        <v>15.0</v>
      </c>
      <c r="G144" s="14" t="s">
        <v>38</v>
      </c>
      <c r="H144" s="14" t="s">
        <v>30</v>
      </c>
      <c r="I144" s="16">
        <v>30.0</v>
      </c>
      <c r="J144" s="14" t="s">
        <v>30</v>
      </c>
      <c r="K144" s="16">
        <v>20.0</v>
      </c>
      <c r="L144" s="16">
        <v>20.0</v>
      </c>
      <c r="M144" s="16">
        <v>45.0</v>
      </c>
      <c r="N144" s="19">
        <f t="shared" si="1"/>
        <v>15</v>
      </c>
      <c r="O144" s="20">
        <f t="shared" si="2"/>
        <v>50</v>
      </c>
      <c r="P144" s="21" t="str">
        <f t="shared" si="3"/>
        <v>Com cupom</v>
      </c>
      <c r="Q144" s="23"/>
      <c r="R144" s="23"/>
      <c r="S144" s="23"/>
      <c r="T144" s="23"/>
    </row>
    <row r="145" ht="16.5" customHeight="1">
      <c r="A145" s="14">
        <v>3374.0</v>
      </c>
      <c r="B145" s="14" t="s">
        <v>178</v>
      </c>
      <c r="C145" s="14" t="s">
        <v>37</v>
      </c>
      <c r="D145" s="15">
        <v>45491.0</v>
      </c>
      <c r="E145" s="14" t="s">
        <v>30</v>
      </c>
      <c r="F145" s="16">
        <v>10.0</v>
      </c>
      <c r="G145" s="14" t="s">
        <v>38</v>
      </c>
      <c r="H145" s="14" t="s">
        <v>34</v>
      </c>
      <c r="I145" s="16">
        <v>0.0</v>
      </c>
      <c r="J145" s="14" t="s">
        <v>30</v>
      </c>
      <c r="K145" s="16">
        <v>20.0</v>
      </c>
      <c r="L145" s="16">
        <v>12.0</v>
      </c>
      <c r="M145" s="16">
        <v>18.0</v>
      </c>
      <c r="N145" s="19">
        <f t="shared" si="1"/>
        <v>10</v>
      </c>
      <c r="O145" s="20">
        <f t="shared" si="2"/>
        <v>20</v>
      </c>
      <c r="P145" s="21" t="str">
        <f t="shared" si="3"/>
        <v>Com cupom</v>
      </c>
      <c r="Q145" s="23"/>
      <c r="R145" s="23"/>
      <c r="S145" s="23"/>
      <c r="T145" s="23"/>
    </row>
    <row r="146" ht="16.5" customHeight="1">
      <c r="A146" s="14">
        <v>3375.0</v>
      </c>
      <c r="B146" s="14" t="s">
        <v>179</v>
      </c>
      <c r="C146" s="14" t="s">
        <v>33</v>
      </c>
      <c r="D146" s="15">
        <v>45492.0</v>
      </c>
      <c r="E146" s="14" t="s">
        <v>34</v>
      </c>
      <c r="F146" s="16">
        <v>5.0</v>
      </c>
      <c r="G146" s="14" t="s">
        <v>31</v>
      </c>
      <c r="H146" s="14" t="s">
        <v>34</v>
      </c>
      <c r="I146" s="16">
        <v>0.0</v>
      </c>
      <c r="J146" s="14" t="s">
        <v>34</v>
      </c>
      <c r="K146" s="16">
        <v>0.0</v>
      </c>
      <c r="L146" s="16">
        <v>2.0</v>
      </c>
      <c r="M146" s="16">
        <v>3.0</v>
      </c>
      <c r="N146" s="19">
        <f t="shared" si="1"/>
        <v>5</v>
      </c>
      <c r="O146" s="20">
        <f t="shared" si="2"/>
        <v>0</v>
      </c>
      <c r="P146" s="21" t="str">
        <f t="shared" si="3"/>
        <v>Com cupom</v>
      </c>
      <c r="Q146" s="23"/>
      <c r="R146" s="23"/>
      <c r="S146" s="23"/>
      <c r="T146" s="23"/>
    </row>
    <row r="147" ht="16.5" customHeight="1">
      <c r="A147" s="14">
        <v>3376.0</v>
      </c>
      <c r="B147" s="14" t="s">
        <v>180</v>
      </c>
      <c r="C147" s="14" t="s">
        <v>29</v>
      </c>
      <c r="D147" s="15">
        <v>45493.0</v>
      </c>
      <c r="E147" s="14" t="s">
        <v>30</v>
      </c>
      <c r="F147" s="16">
        <v>15.0</v>
      </c>
      <c r="G147" s="14" t="s">
        <v>35</v>
      </c>
      <c r="H147" s="14" t="s">
        <v>30</v>
      </c>
      <c r="I147" s="16">
        <v>30.0</v>
      </c>
      <c r="J147" s="14" t="s">
        <v>30</v>
      </c>
      <c r="K147" s="16">
        <v>20.0</v>
      </c>
      <c r="L147" s="16">
        <v>5.0</v>
      </c>
      <c r="M147" s="16">
        <v>60.0</v>
      </c>
      <c r="N147" s="19">
        <f t="shared" si="1"/>
        <v>15</v>
      </c>
      <c r="O147" s="20">
        <f t="shared" si="2"/>
        <v>50</v>
      </c>
      <c r="P147" s="21" t="str">
        <f t="shared" si="3"/>
        <v>Com cupom</v>
      </c>
      <c r="Q147" s="23"/>
      <c r="R147" s="23"/>
      <c r="S147" s="23"/>
      <c r="T147" s="23"/>
    </row>
    <row r="148" ht="16.5" customHeight="1">
      <c r="A148" s="14">
        <v>3377.0</v>
      </c>
      <c r="B148" s="14" t="s">
        <v>181</v>
      </c>
      <c r="C148" s="14" t="s">
        <v>37</v>
      </c>
      <c r="D148" s="15">
        <v>45494.0</v>
      </c>
      <c r="E148" s="14" t="s">
        <v>34</v>
      </c>
      <c r="F148" s="16">
        <v>10.0</v>
      </c>
      <c r="G148" s="14" t="s">
        <v>31</v>
      </c>
      <c r="H148" s="14" t="s">
        <v>34</v>
      </c>
      <c r="I148" s="16">
        <v>0.0</v>
      </c>
      <c r="J148" s="14" t="s">
        <v>30</v>
      </c>
      <c r="K148" s="16">
        <v>20.0</v>
      </c>
      <c r="L148" s="16">
        <v>10.0</v>
      </c>
      <c r="M148" s="16">
        <v>20.0</v>
      </c>
      <c r="N148" s="19">
        <f t="shared" si="1"/>
        <v>10</v>
      </c>
      <c r="O148" s="20">
        <f t="shared" si="2"/>
        <v>20</v>
      </c>
      <c r="P148" s="21" t="str">
        <f t="shared" si="3"/>
        <v>Com cupom</v>
      </c>
      <c r="Q148" s="23"/>
      <c r="R148" s="23"/>
      <c r="S148" s="23"/>
      <c r="T148" s="23"/>
    </row>
    <row r="149" ht="16.5" customHeight="1">
      <c r="A149" s="14">
        <v>3378.0</v>
      </c>
      <c r="B149" s="14" t="s">
        <v>182</v>
      </c>
      <c r="C149" s="14" t="s">
        <v>33</v>
      </c>
      <c r="D149" s="15">
        <v>45495.0</v>
      </c>
      <c r="E149" s="14" t="s">
        <v>30</v>
      </c>
      <c r="F149" s="16">
        <v>5.0</v>
      </c>
      <c r="G149" s="14" t="s">
        <v>38</v>
      </c>
      <c r="H149" s="14" t="s">
        <v>34</v>
      </c>
      <c r="I149" s="16">
        <v>0.0</v>
      </c>
      <c r="J149" s="14" t="s">
        <v>34</v>
      </c>
      <c r="K149" s="16">
        <v>0.0</v>
      </c>
      <c r="L149" s="16">
        <v>0.0</v>
      </c>
      <c r="M149" s="16">
        <v>5.0</v>
      </c>
      <c r="N149" s="19">
        <f t="shared" si="1"/>
        <v>5</v>
      </c>
      <c r="O149" s="20">
        <f t="shared" si="2"/>
        <v>0</v>
      </c>
      <c r="P149" s="21" t="str">
        <f t="shared" si="3"/>
        <v>Sem cupom</v>
      </c>
      <c r="Q149" s="23"/>
      <c r="R149" s="23"/>
      <c r="S149" s="23"/>
      <c r="T149" s="23"/>
    </row>
    <row r="150" ht="16.5" customHeight="1">
      <c r="A150" s="14">
        <v>3379.0</v>
      </c>
      <c r="B150" s="14" t="s">
        <v>183</v>
      </c>
      <c r="C150" s="14" t="s">
        <v>29</v>
      </c>
      <c r="D150" s="15">
        <v>45496.0</v>
      </c>
      <c r="E150" s="14" t="s">
        <v>34</v>
      </c>
      <c r="F150" s="16">
        <v>15.0</v>
      </c>
      <c r="G150" s="14" t="s">
        <v>31</v>
      </c>
      <c r="H150" s="14" t="s">
        <v>30</v>
      </c>
      <c r="I150" s="16">
        <v>30.0</v>
      </c>
      <c r="J150" s="14" t="s">
        <v>30</v>
      </c>
      <c r="K150" s="16">
        <v>20.0</v>
      </c>
      <c r="L150" s="16">
        <v>3.0</v>
      </c>
      <c r="M150" s="16">
        <v>62.0</v>
      </c>
      <c r="N150" s="19">
        <f t="shared" si="1"/>
        <v>15</v>
      </c>
      <c r="O150" s="20">
        <f t="shared" si="2"/>
        <v>50</v>
      </c>
      <c r="P150" s="21" t="str">
        <f t="shared" si="3"/>
        <v>Com cupom</v>
      </c>
      <c r="Q150" s="23"/>
      <c r="R150" s="23"/>
      <c r="S150" s="23"/>
      <c r="T150" s="23"/>
    </row>
    <row r="151" ht="16.5" customHeight="1">
      <c r="A151" s="14">
        <v>3380.0</v>
      </c>
      <c r="B151" s="14" t="s">
        <v>184</v>
      </c>
      <c r="C151" s="14" t="s">
        <v>37</v>
      </c>
      <c r="D151" s="15">
        <v>45497.0</v>
      </c>
      <c r="E151" s="14" t="s">
        <v>30</v>
      </c>
      <c r="F151" s="16">
        <v>10.0</v>
      </c>
      <c r="G151" s="14" t="s">
        <v>35</v>
      </c>
      <c r="H151" s="14" t="s">
        <v>34</v>
      </c>
      <c r="I151" s="16">
        <v>0.0</v>
      </c>
      <c r="J151" s="14" t="s">
        <v>30</v>
      </c>
      <c r="K151" s="16">
        <v>20.0</v>
      </c>
      <c r="L151" s="16">
        <v>15.0</v>
      </c>
      <c r="M151" s="16">
        <v>15.0</v>
      </c>
      <c r="N151" s="19">
        <f t="shared" si="1"/>
        <v>10</v>
      </c>
      <c r="O151" s="20">
        <f t="shared" si="2"/>
        <v>20</v>
      </c>
      <c r="P151" s="21" t="str">
        <f t="shared" si="3"/>
        <v>Com cupom</v>
      </c>
      <c r="Q151" s="23"/>
      <c r="R151" s="23"/>
      <c r="S151" s="23"/>
      <c r="T151" s="23"/>
    </row>
    <row r="152" ht="16.5" customHeight="1">
      <c r="A152" s="14">
        <v>3381.0</v>
      </c>
      <c r="B152" s="14" t="s">
        <v>185</v>
      </c>
      <c r="C152" s="14" t="s">
        <v>33</v>
      </c>
      <c r="D152" s="15">
        <v>45498.0</v>
      </c>
      <c r="E152" s="14" t="s">
        <v>34</v>
      </c>
      <c r="F152" s="16">
        <v>5.0</v>
      </c>
      <c r="G152" s="14" t="s">
        <v>31</v>
      </c>
      <c r="H152" s="14" t="s">
        <v>34</v>
      </c>
      <c r="I152" s="16">
        <v>0.0</v>
      </c>
      <c r="J152" s="14" t="s">
        <v>34</v>
      </c>
      <c r="K152" s="16">
        <v>0.0</v>
      </c>
      <c r="L152" s="16">
        <v>1.0</v>
      </c>
      <c r="M152" s="16">
        <v>4.0</v>
      </c>
      <c r="N152" s="19">
        <f t="shared" si="1"/>
        <v>5</v>
      </c>
      <c r="O152" s="20">
        <f t="shared" si="2"/>
        <v>0</v>
      </c>
      <c r="P152" s="21" t="str">
        <f t="shared" si="3"/>
        <v>Com cupom</v>
      </c>
      <c r="Q152" s="23"/>
      <c r="R152" s="23"/>
      <c r="S152" s="23"/>
      <c r="T152" s="23"/>
    </row>
    <row r="153" ht="16.5" customHeight="1">
      <c r="A153" s="14">
        <v>3382.0</v>
      </c>
      <c r="B153" s="14" t="s">
        <v>186</v>
      </c>
      <c r="C153" s="14" t="s">
        <v>29</v>
      </c>
      <c r="D153" s="15">
        <v>45499.0</v>
      </c>
      <c r="E153" s="14" t="s">
        <v>30</v>
      </c>
      <c r="F153" s="16">
        <v>15.0</v>
      </c>
      <c r="G153" s="14" t="s">
        <v>38</v>
      </c>
      <c r="H153" s="14" t="s">
        <v>30</v>
      </c>
      <c r="I153" s="16">
        <v>30.0</v>
      </c>
      <c r="J153" s="14" t="s">
        <v>30</v>
      </c>
      <c r="K153" s="16">
        <v>20.0</v>
      </c>
      <c r="L153" s="16">
        <v>7.0</v>
      </c>
      <c r="M153" s="16">
        <v>58.0</v>
      </c>
      <c r="N153" s="19">
        <f t="shared" si="1"/>
        <v>15</v>
      </c>
      <c r="O153" s="20">
        <f t="shared" si="2"/>
        <v>50</v>
      </c>
      <c r="P153" s="21" t="str">
        <f t="shared" si="3"/>
        <v>Com cupom</v>
      </c>
      <c r="Q153" s="23"/>
      <c r="R153" s="23"/>
      <c r="S153" s="23"/>
      <c r="T153" s="23"/>
    </row>
    <row r="154" ht="16.5" customHeight="1">
      <c r="A154" s="14">
        <v>3383.0</v>
      </c>
      <c r="B154" s="14" t="s">
        <v>187</v>
      </c>
      <c r="C154" s="14" t="s">
        <v>37</v>
      </c>
      <c r="D154" s="15">
        <v>45500.0</v>
      </c>
      <c r="E154" s="14" t="s">
        <v>34</v>
      </c>
      <c r="F154" s="16">
        <v>10.0</v>
      </c>
      <c r="G154" s="14" t="s">
        <v>31</v>
      </c>
      <c r="H154" s="14" t="s">
        <v>34</v>
      </c>
      <c r="I154" s="16">
        <v>0.0</v>
      </c>
      <c r="J154" s="14" t="s">
        <v>30</v>
      </c>
      <c r="K154" s="16">
        <v>20.0</v>
      </c>
      <c r="L154" s="16">
        <v>10.0</v>
      </c>
      <c r="M154" s="16">
        <v>20.0</v>
      </c>
      <c r="N154" s="19">
        <f t="shared" si="1"/>
        <v>10</v>
      </c>
      <c r="O154" s="20">
        <f t="shared" si="2"/>
        <v>20</v>
      </c>
      <c r="P154" s="21" t="str">
        <f t="shared" si="3"/>
        <v>Com cupom</v>
      </c>
      <c r="Q154" s="23"/>
      <c r="R154" s="23"/>
      <c r="S154" s="23"/>
      <c r="T154" s="23"/>
    </row>
    <row r="155" ht="16.5" customHeight="1">
      <c r="A155" s="14">
        <v>3384.0</v>
      </c>
      <c r="B155" s="14" t="s">
        <v>188</v>
      </c>
      <c r="C155" s="14" t="s">
        <v>33</v>
      </c>
      <c r="D155" s="15">
        <v>45501.0</v>
      </c>
      <c r="E155" s="14" t="s">
        <v>30</v>
      </c>
      <c r="F155" s="16">
        <v>5.0</v>
      </c>
      <c r="G155" s="14" t="s">
        <v>35</v>
      </c>
      <c r="H155" s="14" t="s">
        <v>34</v>
      </c>
      <c r="I155" s="16">
        <v>0.0</v>
      </c>
      <c r="J155" s="14" t="s">
        <v>34</v>
      </c>
      <c r="K155" s="16">
        <v>0.0</v>
      </c>
      <c r="L155" s="16">
        <v>0.0</v>
      </c>
      <c r="M155" s="16">
        <v>5.0</v>
      </c>
      <c r="N155" s="19">
        <f t="shared" si="1"/>
        <v>5</v>
      </c>
      <c r="O155" s="20">
        <f t="shared" si="2"/>
        <v>0</v>
      </c>
      <c r="P155" s="21" t="str">
        <f t="shared" si="3"/>
        <v>Sem cupom</v>
      </c>
      <c r="Q155" s="23"/>
      <c r="R155" s="23"/>
      <c r="S155" s="23"/>
      <c r="T155" s="23"/>
    </row>
    <row r="156" ht="16.5" customHeight="1">
      <c r="A156" s="14">
        <v>3385.0</v>
      </c>
      <c r="B156" s="14" t="s">
        <v>189</v>
      </c>
      <c r="C156" s="14" t="s">
        <v>29</v>
      </c>
      <c r="D156" s="15">
        <v>45502.0</v>
      </c>
      <c r="E156" s="14" t="s">
        <v>34</v>
      </c>
      <c r="F156" s="16">
        <v>15.0</v>
      </c>
      <c r="G156" s="14" t="s">
        <v>31</v>
      </c>
      <c r="H156" s="14" t="s">
        <v>30</v>
      </c>
      <c r="I156" s="16">
        <v>30.0</v>
      </c>
      <c r="J156" s="14" t="s">
        <v>30</v>
      </c>
      <c r="K156" s="16">
        <v>20.0</v>
      </c>
      <c r="L156" s="16">
        <v>20.0</v>
      </c>
      <c r="M156" s="16">
        <v>45.0</v>
      </c>
      <c r="N156" s="19">
        <f t="shared" si="1"/>
        <v>15</v>
      </c>
      <c r="O156" s="20">
        <f t="shared" si="2"/>
        <v>50</v>
      </c>
      <c r="P156" s="21" t="str">
        <f t="shared" si="3"/>
        <v>Com cupom</v>
      </c>
      <c r="Q156" s="23"/>
      <c r="R156" s="23"/>
      <c r="S156" s="23"/>
      <c r="T156" s="23"/>
    </row>
    <row r="157" ht="16.5" customHeight="1">
      <c r="A157" s="14">
        <v>3386.0</v>
      </c>
      <c r="B157" s="14" t="s">
        <v>190</v>
      </c>
      <c r="C157" s="14" t="s">
        <v>37</v>
      </c>
      <c r="D157" s="15">
        <v>45503.0</v>
      </c>
      <c r="E157" s="14" t="s">
        <v>30</v>
      </c>
      <c r="F157" s="16">
        <v>10.0</v>
      </c>
      <c r="G157" s="14" t="s">
        <v>38</v>
      </c>
      <c r="H157" s="14" t="s">
        <v>34</v>
      </c>
      <c r="I157" s="16">
        <v>0.0</v>
      </c>
      <c r="J157" s="14" t="s">
        <v>30</v>
      </c>
      <c r="K157" s="16">
        <v>20.0</v>
      </c>
      <c r="L157" s="16">
        <v>15.0</v>
      </c>
      <c r="M157" s="16">
        <v>15.0</v>
      </c>
      <c r="N157" s="19">
        <f t="shared" si="1"/>
        <v>10</v>
      </c>
      <c r="O157" s="20">
        <f t="shared" si="2"/>
        <v>20</v>
      </c>
      <c r="P157" s="21" t="str">
        <f t="shared" si="3"/>
        <v>Com cupom</v>
      </c>
      <c r="Q157" s="23"/>
      <c r="R157" s="23"/>
      <c r="S157" s="23"/>
      <c r="T157" s="23"/>
    </row>
    <row r="158" ht="16.5" customHeight="1">
      <c r="A158" s="14">
        <v>3387.0</v>
      </c>
      <c r="B158" s="14" t="s">
        <v>191</v>
      </c>
      <c r="C158" s="14" t="s">
        <v>33</v>
      </c>
      <c r="D158" s="15">
        <v>45504.0</v>
      </c>
      <c r="E158" s="14" t="s">
        <v>34</v>
      </c>
      <c r="F158" s="16">
        <v>5.0</v>
      </c>
      <c r="G158" s="14" t="s">
        <v>31</v>
      </c>
      <c r="H158" s="14" t="s">
        <v>34</v>
      </c>
      <c r="I158" s="16">
        <v>0.0</v>
      </c>
      <c r="J158" s="14" t="s">
        <v>34</v>
      </c>
      <c r="K158" s="16">
        <v>0.0</v>
      </c>
      <c r="L158" s="16">
        <v>1.0</v>
      </c>
      <c r="M158" s="16">
        <v>4.0</v>
      </c>
      <c r="N158" s="19">
        <f t="shared" si="1"/>
        <v>5</v>
      </c>
      <c r="O158" s="20">
        <f t="shared" si="2"/>
        <v>0</v>
      </c>
      <c r="P158" s="21" t="str">
        <f t="shared" si="3"/>
        <v>Com cupom</v>
      </c>
      <c r="Q158" s="23"/>
      <c r="R158" s="23"/>
      <c r="S158" s="23"/>
      <c r="T158" s="23"/>
    </row>
    <row r="159" ht="16.5" customHeight="1">
      <c r="A159" s="14">
        <v>3388.0</v>
      </c>
      <c r="B159" s="14" t="s">
        <v>192</v>
      </c>
      <c r="C159" s="14" t="s">
        <v>29</v>
      </c>
      <c r="D159" s="15">
        <v>45505.0</v>
      </c>
      <c r="E159" s="14" t="s">
        <v>30</v>
      </c>
      <c r="F159" s="16">
        <v>15.0</v>
      </c>
      <c r="G159" s="14" t="s">
        <v>35</v>
      </c>
      <c r="H159" s="14" t="s">
        <v>30</v>
      </c>
      <c r="I159" s="16">
        <v>30.0</v>
      </c>
      <c r="J159" s="14" t="s">
        <v>30</v>
      </c>
      <c r="K159" s="16">
        <v>20.0</v>
      </c>
      <c r="L159" s="16">
        <v>3.0</v>
      </c>
      <c r="M159" s="16">
        <v>62.0</v>
      </c>
      <c r="N159" s="19">
        <f t="shared" si="1"/>
        <v>15</v>
      </c>
      <c r="O159" s="20">
        <f t="shared" si="2"/>
        <v>50</v>
      </c>
      <c r="P159" s="21" t="str">
        <f t="shared" si="3"/>
        <v>Com cupom</v>
      </c>
      <c r="Q159" s="23"/>
      <c r="R159" s="23"/>
      <c r="S159" s="23"/>
      <c r="T159" s="23"/>
    </row>
    <row r="160" ht="16.5" customHeight="1">
      <c r="A160" s="14">
        <v>3389.0</v>
      </c>
      <c r="B160" s="14" t="s">
        <v>193</v>
      </c>
      <c r="C160" s="14" t="s">
        <v>37</v>
      </c>
      <c r="D160" s="15">
        <v>45506.0</v>
      </c>
      <c r="E160" s="14" t="s">
        <v>34</v>
      </c>
      <c r="F160" s="16">
        <v>10.0</v>
      </c>
      <c r="G160" s="14" t="s">
        <v>31</v>
      </c>
      <c r="H160" s="14" t="s">
        <v>34</v>
      </c>
      <c r="I160" s="16">
        <v>0.0</v>
      </c>
      <c r="J160" s="14" t="s">
        <v>30</v>
      </c>
      <c r="K160" s="16">
        <v>20.0</v>
      </c>
      <c r="L160" s="16">
        <v>10.0</v>
      </c>
      <c r="M160" s="16">
        <v>20.0</v>
      </c>
      <c r="N160" s="19">
        <f t="shared" si="1"/>
        <v>10</v>
      </c>
      <c r="O160" s="20">
        <f t="shared" si="2"/>
        <v>20</v>
      </c>
      <c r="P160" s="21" t="str">
        <f t="shared" si="3"/>
        <v>Com cupom</v>
      </c>
      <c r="Q160" s="23"/>
      <c r="R160" s="23"/>
      <c r="S160" s="23"/>
      <c r="T160" s="23"/>
    </row>
    <row r="161" ht="16.5" customHeight="1">
      <c r="A161" s="14">
        <v>3390.0</v>
      </c>
      <c r="B161" s="14" t="s">
        <v>194</v>
      </c>
      <c r="C161" s="14" t="s">
        <v>33</v>
      </c>
      <c r="D161" s="15">
        <v>45507.0</v>
      </c>
      <c r="E161" s="14" t="s">
        <v>30</v>
      </c>
      <c r="F161" s="16">
        <v>5.0</v>
      </c>
      <c r="G161" s="14" t="s">
        <v>38</v>
      </c>
      <c r="H161" s="14" t="s">
        <v>34</v>
      </c>
      <c r="I161" s="16">
        <v>0.0</v>
      </c>
      <c r="J161" s="14" t="s">
        <v>34</v>
      </c>
      <c r="K161" s="16">
        <v>0.0</v>
      </c>
      <c r="L161" s="16">
        <v>0.0</v>
      </c>
      <c r="M161" s="16">
        <v>5.0</v>
      </c>
      <c r="N161" s="19">
        <f t="shared" si="1"/>
        <v>5</v>
      </c>
      <c r="O161" s="20">
        <f t="shared" si="2"/>
        <v>0</v>
      </c>
      <c r="P161" s="21" t="str">
        <f t="shared" si="3"/>
        <v>Sem cupom</v>
      </c>
      <c r="Q161" s="23"/>
      <c r="R161" s="23"/>
      <c r="S161" s="23"/>
      <c r="T161" s="23"/>
    </row>
    <row r="162" ht="16.5" customHeight="1">
      <c r="A162" s="14">
        <v>3391.0</v>
      </c>
      <c r="B162" s="14" t="s">
        <v>94</v>
      </c>
      <c r="C162" s="14" t="s">
        <v>29</v>
      </c>
      <c r="D162" s="15">
        <v>45508.0</v>
      </c>
      <c r="E162" s="14" t="s">
        <v>34</v>
      </c>
      <c r="F162" s="16">
        <v>15.0</v>
      </c>
      <c r="G162" s="14" t="s">
        <v>31</v>
      </c>
      <c r="H162" s="14" t="s">
        <v>30</v>
      </c>
      <c r="I162" s="16">
        <v>30.0</v>
      </c>
      <c r="J162" s="14" t="s">
        <v>30</v>
      </c>
      <c r="K162" s="16">
        <v>20.0</v>
      </c>
      <c r="L162" s="16">
        <v>15.0</v>
      </c>
      <c r="M162" s="16">
        <v>50.0</v>
      </c>
      <c r="N162" s="19">
        <f t="shared" si="1"/>
        <v>15</v>
      </c>
      <c r="O162" s="20">
        <f t="shared" si="2"/>
        <v>50</v>
      </c>
      <c r="P162" s="21" t="str">
        <f t="shared" si="3"/>
        <v>Com cupom</v>
      </c>
      <c r="Q162" s="23"/>
      <c r="R162" s="23"/>
      <c r="S162" s="23"/>
      <c r="T162" s="23"/>
    </row>
    <row r="163" ht="16.5" customHeight="1">
      <c r="A163" s="14">
        <v>3392.0</v>
      </c>
      <c r="B163" s="14" t="s">
        <v>195</v>
      </c>
      <c r="C163" s="14" t="s">
        <v>37</v>
      </c>
      <c r="D163" s="15">
        <v>45509.0</v>
      </c>
      <c r="E163" s="14" t="s">
        <v>30</v>
      </c>
      <c r="F163" s="16">
        <v>10.0</v>
      </c>
      <c r="G163" s="14" t="s">
        <v>35</v>
      </c>
      <c r="H163" s="14" t="s">
        <v>34</v>
      </c>
      <c r="I163" s="16">
        <v>0.0</v>
      </c>
      <c r="J163" s="14" t="s">
        <v>30</v>
      </c>
      <c r="K163" s="16">
        <v>20.0</v>
      </c>
      <c r="L163" s="16">
        <v>15.0</v>
      </c>
      <c r="M163" s="16">
        <v>15.0</v>
      </c>
      <c r="N163" s="19">
        <f t="shared" si="1"/>
        <v>10</v>
      </c>
      <c r="O163" s="20">
        <f t="shared" si="2"/>
        <v>20</v>
      </c>
      <c r="P163" s="21" t="str">
        <f t="shared" si="3"/>
        <v>Com cupom</v>
      </c>
      <c r="Q163" s="23"/>
      <c r="R163" s="23"/>
      <c r="S163" s="23"/>
      <c r="T163" s="23"/>
    </row>
    <row r="164" ht="16.5" customHeight="1">
      <c r="A164" s="14">
        <v>3393.0</v>
      </c>
      <c r="B164" s="14" t="s">
        <v>196</v>
      </c>
      <c r="C164" s="14" t="s">
        <v>33</v>
      </c>
      <c r="D164" s="15">
        <v>45510.0</v>
      </c>
      <c r="E164" s="14" t="s">
        <v>34</v>
      </c>
      <c r="F164" s="16">
        <v>5.0</v>
      </c>
      <c r="G164" s="14" t="s">
        <v>31</v>
      </c>
      <c r="H164" s="14" t="s">
        <v>34</v>
      </c>
      <c r="I164" s="16">
        <v>0.0</v>
      </c>
      <c r="J164" s="14" t="s">
        <v>34</v>
      </c>
      <c r="K164" s="16">
        <v>0.0</v>
      </c>
      <c r="L164" s="16">
        <v>1.0</v>
      </c>
      <c r="M164" s="16">
        <v>4.0</v>
      </c>
      <c r="N164" s="19">
        <f t="shared" si="1"/>
        <v>5</v>
      </c>
      <c r="O164" s="20">
        <f t="shared" si="2"/>
        <v>0</v>
      </c>
      <c r="P164" s="21" t="str">
        <f t="shared" si="3"/>
        <v>Com cupom</v>
      </c>
      <c r="Q164" s="23"/>
      <c r="R164" s="23"/>
      <c r="S164" s="23"/>
      <c r="T164" s="23"/>
    </row>
    <row r="165" ht="16.5" customHeight="1">
      <c r="A165" s="14">
        <v>3394.0</v>
      </c>
      <c r="B165" s="14" t="s">
        <v>197</v>
      </c>
      <c r="C165" s="14" t="s">
        <v>29</v>
      </c>
      <c r="D165" s="15">
        <v>45511.0</v>
      </c>
      <c r="E165" s="14" t="s">
        <v>30</v>
      </c>
      <c r="F165" s="16">
        <v>15.0</v>
      </c>
      <c r="G165" s="14" t="s">
        <v>38</v>
      </c>
      <c r="H165" s="14" t="s">
        <v>30</v>
      </c>
      <c r="I165" s="16">
        <v>30.0</v>
      </c>
      <c r="J165" s="14" t="s">
        <v>30</v>
      </c>
      <c r="K165" s="16">
        <v>20.0</v>
      </c>
      <c r="L165" s="16">
        <v>7.0</v>
      </c>
      <c r="M165" s="16">
        <v>58.0</v>
      </c>
      <c r="N165" s="19">
        <f t="shared" si="1"/>
        <v>15</v>
      </c>
      <c r="O165" s="20">
        <f t="shared" si="2"/>
        <v>50</v>
      </c>
      <c r="P165" s="21" t="str">
        <f t="shared" si="3"/>
        <v>Com cupom</v>
      </c>
      <c r="Q165" s="23"/>
      <c r="R165" s="23"/>
      <c r="S165" s="23"/>
      <c r="T165" s="23"/>
    </row>
    <row r="166" ht="16.5" customHeight="1">
      <c r="A166" s="14">
        <v>3395.0</v>
      </c>
      <c r="B166" s="14" t="s">
        <v>198</v>
      </c>
      <c r="C166" s="14" t="s">
        <v>37</v>
      </c>
      <c r="D166" s="15">
        <v>45512.0</v>
      </c>
      <c r="E166" s="14" t="s">
        <v>34</v>
      </c>
      <c r="F166" s="16">
        <v>10.0</v>
      </c>
      <c r="G166" s="14" t="s">
        <v>31</v>
      </c>
      <c r="H166" s="14" t="s">
        <v>34</v>
      </c>
      <c r="I166" s="16">
        <v>0.0</v>
      </c>
      <c r="J166" s="14" t="s">
        <v>30</v>
      </c>
      <c r="K166" s="16">
        <v>20.0</v>
      </c>
      <c r="L166" s="16">
        <v>10.0</v>
      </c>
      <c r="M166" s="16">
        <v>20.0</v>
      </c>
      <c r="N166" s="19">
        <f t="shared" si="1"/>
        <v>10</v>
      </c>
      <c r="O166" s="20">
        <f t="shared" si="2"/>
        <v>20</v>
      </c>
      <c r="P166" s="21" t="str">
        <f t="shared" si="3"/>
        <v>Com cupom</v>
      </c>
      <c r="Q166" s="23"/>
      <c r="R166" s="23"/>
      <c r="S166" s="23"/>
      <c r="T166" s="23"/>
    </row>
    <row r="167" ht="16.5" customHeight="1">
      <c r="A167" s="14">
        <v>3396.0</v>
      </c>
      <c r="B167" s="14" t="s">
        <v>199</v>
      </c>
      <c r="C167" s="14" t="s">
        <v>33</v>
      </c>
      <c r="D167" s="15">
        <v>45513.0</v>
      </c>
      <c r="E167" s="14" t="s">
        <v>30</v>
      </c>
      <c r="F167" s="16">
        <v>5.0</v>
      </c>
      <c r="G167" s="14" t="s">
        <v>35</v>
      </c>
      <c r="H167" s="14" t="s">
        <v>34</v>
      </c>
      <c r="I167" s="16">
        <v>0.0</v>
      </c>
      <c r="J167" s="14" t="s">
        <v>34</v>
      </c>
      <c r="K167" s="16">
        <v>0.0</v>
      </c>
      <c r="L167" s="16">
        <v>0.0</v>
      </c>
      <c r="M167" s="16">
        <v>5.0</v>
      </c>
      <c r="N167" s="19">
        <f t="shared" si="1"/>
        <v>5</v>
      </c>
      <c r="O167" s="20">
        <f t="shared" si="2"/>
        <v>0</v>
      </c>
      <c r="P167" s="21" t="str">
        <f t="shared" si="3"/>
        <v>Sem cupom</v>
      </c>
      <c r="Q167" s="23"/>
      <c r="R167" s="23"/>
      <c r="S167" s="23"/>
      <c r="T167" s="23"/>
    </row>
    <row r="168" ht="16.5" customHeight="1">
      <c r="A168" s="14">
        <v>3397.0</v>
      </c>
      <c r="B168" s="14" t="s">
        <v>126</v>
      </c>
      <c r="C168" s="14" t="s">
        <v>29</v>
      </c>
      <c r="D168" s="15">
        <v>45514.0</v>
      </c>
      <c r="E168" s="14" t="s">
        <v>34</v>
      </c>
      <c r="F168" s="16">
        <v>15.0</v>
      </c>
      <c r="G168" s="14" t="s">
        <v>31</v>
      </c>
      <c r="H168" s="14" t="s">
        <v>30</v>
      </c>
      <c r="I168" s="16">
        <v>30.0</v>
      </c>
      <c r="J168" s="14" t="s">
        <v>30</v>
      </c>
      <c r="K168" s="16">
        <v>20.0</v>
      </c>
      <c r="L168" s="16">
        <v>20.0</v>
      </c>
      <c r="M168" s="16">
        <v>45.0</v>
      </c>
      <c r="N168" s="19">
        <f t="shared" si="1"/>
        <v>15</v>
      </c>
      <c r="O168" s="20">
        <f t="shared" si="2"/>
        <v>50</v>
      </c>
      <c r="P168" s="21" t="str">
        <f t="shared" si="3"/>
        <v>Com cupom</v>
      </c>
      <c r="Q168" s="23"/>
      <c r="R168" s="23"/>
      <c r="S168" s="23"/>
      <c r="T168" s="23"/>
    </row>
    <row r="169" ht="16.5" customHeight="1">
      <c r="A169" s="14">
        <v>3398.0</v>
      </c>
      <c r="B169" s="14" t="s">
        <v>200</v>
      </c>
      <c r="C169" s="14" t="s">
        <v>37</v>
      </c>
      <c r="D169" s="15">
        <v>45515.0</v>
      </c>
      <c r="E169" s="14" t="s">
        <v>30</v>
      </c>
      <c r="F169" s="16">
        <v>10.0</v>
      </c>
      <c r="G169" s="14" t="s">
        <v>38</v>
      </c>
      <c r="H169" s="14" t="s">
        <v>34</v>
      </c>
      <c r="I169" s="16">
        <v>0.0</v>
      </c>
      <c r="J169" s="14" t="s">
        <v>30</v>
      </c>
      <c r="K169" s="16">
        <v>20.0</v>
      </c>
      <c r="L169" s="16">
        <v>15.0</v>
      </c>
      <c r="M169" s="16">
        <v>15.0</v>
      </c>
      <c r="N169" s="19">
        <f t="shared" si="1"/>
        <v>10</v>
      </c>
      <c r="O169" s="20">
        <f t="shared" si="2"/>
        <v>20</v>
      </c>
      <c r="P169" s="21" t="str">
        <f t="shared" si="3"/>
        <v>Com cupom</v>
      </c>
      <c r="Q169" s="23"/>
      <c r="R169" s="23"/>
      <c r="S169" s="23"/>
      <c r="T169" s="23"/>
    </row>
    <row r="170" ht="16.5" customHeight="1">
      <c r="A170" s="14">
        <v>3399.0</v>
      </c>
      <c r="B170" s="14" t="s">
        <v>201</v>
      </c>
      <c r="C170" s="14" t="s">
        <v>33</v>
      </c>
      <c r="D170" s="15">
        <v>45516.0</v>
      </c>
      <c r="E170" s="14" t="s">
        <v>34</v>
      </c>
      <c r="F170" s="16">
        <v>5.0</v>
      </c>
      <c r="G170" s="14" t="s">
        <v>31</v>
      </c>
      <c r="H170" s="14" t="s">
        <v>34</v>
      </c>
      <c r="I170" s="16">
        <v>0.0</v>
      </c>
      <c r="J170" s="14" t="s">
        <v>34</v>
      </c>
      <c r="K170" s="16">
        <v>0.0</v>
      </c>
      <c r="L170" s="16">
        <v>1.0</v>
      </c>
      <c r="M170" s="16">
        <v>4.0</v>
      </c>
      <c r="N170" s="19">
        <f t="shared" si="1"/>
        <v>5</v>
      </c>
      <c r="O170" s="20">
        <f t="shared" si="2"/>
        <v>0</v>
      </c>
      <c r="P170" s="21" t="str">
        <f t="shared" si="3"/>
        <v>Com cupom</v>
      </c>
      <c r="Q170" s="23"/>
      <c r="R170" s="23"/>
      <c r="S170" s="23"/>
      <c r="T170" s="23"/>
    </row>
    <row r="171" ht="16.5" customHeight="1">
      <c r="A171" s="14">
        <v>3400.0</v>
      </c>
      <c r="B171" s="14" t="s">
        <v>202</v>
      </c>
      <c r="C171" s="14" t="s">
        <v>29</v>
      </c>
      <c r="D171" s="15">
        <v>45517.0</v>
      </c>
      <c r="E171" s="14" t="s">
        <v>30</v>
      </c>
      <c r="F171" s="16">
        <v>15.0</v>
      </c>
      <c r="G171" s="14" t="s">
        <v>35</v>
      </c>
      <c r="H171" s="14" t="s">
        <v>30</v>
      </c>
      <c r="I171" s="16">
        <v>30.0</v>
      </c>
      <c r="J171" s="14" t="s">
        <v>30</v>
      </c>
      <c r="K171" s="16">
        <v>20.0</v>
      </c>
      <c r="L171" s="16">
        <v>5.0</v>
      </c>
      <c r="M171" s="16">
        <v>60.0</v>
      </c>
      <c r="N171" s="19">
        <f t="shared" si="1"/>
        <v>15</v>
      </c>
      <c r="O171" s="20">
        <f t="shared" si="2"/>
        <v>50</v>
      </c>
      <c r="P171" s="21" t="str">
        <f t="shared" si="3"/>
        <v>Com cupom</v>
      </c>
      <c r="Q171" s="23"/>
      <c r="R171" s="23"/>
      <c r="S171" s="23"/>
      <c r="T171" s="23"/>
    </row>
    <row r="172" ht="16.5" customHeight="1">
      <c r="A172" s="14">
        <v>3401.0</v>
      </c>
      <c r="B172" s="14" t="s">
        <v>203</v>
      </c>
      <c r="C172" s="14" t="s">
        <v>37</v>
      </c>
      <c r="D172" s="15">
        <v>45518.0</v>
      </c>
      <c r="E172" s="14" t="s">
        <v>34</v>
      </c>
      <c r="F172" s="16">
        <v>10.0</v>
      </c>
      <c r="G172" s="14" t="s">
        <v>31</v>
      </c>
      <c r="H172" s="14" t="s">
        <v>34</v>
      </c>
      <c r="I172" s="16">
        <v>0.0</v>
      </c>
      <c r="J172" s="14" t="s">
        <v>30</v>
      </c>
      <c r="K172" s="16">
        <v>20.0</v>
      </c>
      <c r="L172" s="16">
        <v>10.0</v>
      </c>
      <c r="M172" s="16">
        <v>20.0</v>
      </c>
      <c r="N172" s="19">
        <f t="shared" si="1"/>
        <v>10</v>
      </c>
      <c r="O172" s="20">
        <f t="shared" si="2"/>
        <v>20</v>
      </c>
      <c r="P172" s="21" t="str">
        <f t="shared" si="3"/>
        <v>Com cupom</v>
      </c>
      <c r="Q172" s="23"/>
      <c r="R172" s="23"/>
      <c r="S172" s="23"/>
      <c r="T172" s="23"/>
    </row>
    <row r="173" ht="16.5" customHeight="1">
      <c r="A173" s="14">
        <v>3402.0</v>
      </c>
      <c r="B173" s="14" t="s">
        <v>204</v>
      </c>
      <c r="C173" s="14" t="s">
        <v>33</v>
      </c>
      <c r="D173" s="15">
        <v>45519.0</v>
      </c>
      <c r="E173" s="14" t="s">
        <v>30</v>
      </c>
      <c r="F173" s="16">
        <v>5.0</v>
      </c>
      <c r="G173" s="14" t="s">
        <v>38</v>
      </c>
      <c r="H173" s="14" t="s">
        <v>34</v>
      </c>
      <c r="I173" s="16">
        <v>0.0</v>
      </c>
      <c r="J173" s="14" t="s">
        <v>34</v>
      </c>
      <c r="K173" s="16">
        <v>0.0</v>
      </c>
      <c r="L173" s="16">
        <v>0.0</v>
      </c>
      <c r="M173" s="16">
        <v>5.0</v>
      </c>
      <c r="N173" s="19">
        <f t="shared" si="1"/>
        <v>5</v>
      </c>
      <c r="O173" s="20">
        <f t="shared" si="2"/>
        <v>0</v>
      </c>
      <c r="P173" s="21" t="str">
        <f t="shared" si="3"/>
        <v>Sem cupom</v>
      </c>
      <c r="Q173" s="23"/>
      <c r="R173" s="23"/>
      <c r="S173" s="23"/>
      <c r="T173" s="23"/>
    </row>
    <row r="174" ht="16.5" customHeight="1">
      <c r="A174" s="14">
        <v>3403.0</v>
      </c>
      <c r="B174" s="14" t="s">
        <v>205</v>
      </c>
      <c r="C174" s="14" t="s">
        <v>29</v>
      </c>
      <c r="D174" s="15">
        <v>45520.0</v>
      </c>
      <c r="E174" s="14" t="s">
        <v>34</v>
      </c>
      <c r="F174" s="16">
        <v>15.0</v>
      </c>
      <c r="G174" s="14" t="s">
        <v>31</v>
      </c>
      <c r="H174" s="14" t="s">
        <v>30</v>
      </c>
      <c r="I174" s="16">
        <v>30.0</v>
      </c>
      <c r="J174" s="14" t="s">
        <v>30</v>
      </c>
      <c r="K174" s="16">
        <v>20.0</v>
      </c>
      <c r="L174" s="16">
        <v>3.0</v>
      </c>
      <c r="M174" s="16">
        <v>62.0</v>
      </c>
      <c r="N174" s="19">
        <f t="shared" si="1"/>
        <v>15</v>
      </c>
      <c r="O174" s="20">
        <f t="shared" si="2"/>
        <v>50</v>
      </c>
      <c r="P174" s="21" t="str">
        <f t="shared" si="3"/>
        <v>Com cupom</v>
      </c>
      <c r="Q174" s="23"/>
      <c r="R174" s="23"/>
      <c r="S174" s="23"/>
      <c r="T174" s="23"/>
    </row>
    <row r="175" ht="16.5" customHeight="1">
      <c r="A175" s="14">
        <v>3404.0</v>
      </c>
      <c r="B175" s="14" t="s">
        <v>206</v>
      </c>
      <c r="C175" s="14" t="s">
        <v>37</v>
      </c>
      <c r="D175" s="15">
        <v>45521.0</v>
      </c>
      <c r="E175" s="14" t="s">
        <v>30</v>
      </c>
      <c r="F175" s="16">
        <v>10.0</v>
      </c>
      <c r="G175" s="14" t="s">
        <v>35</v>
      </c>
      <c r="H175" s="14" t="s">
        <v>34</v>
      </c>
      <c r="I175" s="16">
        <v>0.0</v>
      </c>
      <c r="J175" s="14" t="s">
        <v>30</v>
      </c>
      <c r="K175" s="16">
        <v>20.0</v>
      </c>
      <c r="L175" s="16">
        <v>15.0</v>
      </c>
      <c r="M175" s="16">
        <v>15.0</v>
      </c>
      <c r="N175" s="19">
        <f t="shared" si="1"/>
        <v>10</v>
      </c>
      <c r="O175" s="20">
        <f t="shared" si="2"/>
        <v>20</v>
      </c>
      <c r="P175" s="21" t="str">
        <f t="shared" si="3"/>
        <v>Com cupom</v>
      </c>
      <c r="Q175" s="23"/>
      <c r="R175" s="23"/>
      <c r="S175" s="23"/>
      <c r="T175" s="23"/>
    </row>
    <row r="176" ht="16.5" customHeight="1">
      <c r="A176" s="14">
        <v>3405.0</v>
      </c>
      <c r="B176" s="14" t="s">
        <v>207</v>
      </c>
      <c r="C176" s="14" t="s">
        <v>33</v>
      </c>
      <c r="D176" s="15">
        <v>45522.0</v>
      </c>
      <c r="E176" s="14" t="s">
        <v>34</v>
      </c>
      <c r="F176" s="16">
        <v>5.0</v>
      </c>
      <c r="G176" s="14" t="s">
        <v>31</v>
      </c>
      <c r="H176" s="14" t="s">
        <v>34</v>
      </c>
      <c r="I176" s="16">
        <v>0.0</v>
      </c>
      <c r="J176" s="14" t="s">
        <v>34</v>
      </c>
      <c r="K176" s="16">
        <v>0.0</v>
      </c>
      <c r="L176" s="16">
        <v>1.0</v>
      </c>
      <c r="M176" s="16">
        <v>4.0</v>
      </c>
      <c r="N176" s="19">
        <f t="shared" si="1"/>
        <v>5</v>
      </c>
      <c r="O176" s="20">
        <f t="shared" si="2"/>
        <v>0</v>
      </c>
      <c r="P176" s="21" t="str">
        <f t="shared" si="3"/>
        <v>Com cupom</v>
      </c>
      <c r="Q176" s="23"/>
      <c r="R176" s="23"/>
      <c r="S176" s="23"/>
      <c r="T176" s="23"/>
    </row>
    <row r="177" ht="16.5" customHeight="1">
      <c r="A177" s="14">
        <v>3406.0</v>
      </c>
      <c r="B177" s="14" t="s">
        <v>208</v>
      </c>
      <c r="C177" s="14" t="s">
        <v>33</v>
      </c>
      <c r="D177" s="15">
        <v>45523.0</v>
      </c>
      <c r="E177" s="14" t="s">
        <v>30</v>
      </c>
      <c r="F177" s="16">
        <v>5.0</v>
      </c>
      <c r="G177" s="14" t="s">
        <v>31</v>
      </c>
      <c r="H177" s="14" t="s">
        <v>34</v>
      </c>
      <c r="I177" s="16">
        <v>0.0</v>
      </c>
      <c r="J177" s="14" t="s">
        <v>34</v>
      </c>
      <c r="K177" s="16">
        <v>0.0</v>
      </c>
      <c r="L177" s="16">
        <v>0.0</v>
      </c>
      <c r="M177" s="16">
        <v>5.0</v>
      </c>
      <c r="N177" s="19">
        <f t="shared" si="1"/>
        <v>5</v>
      </c>
      <c r="O177" s="20">
        <f t="shared" si="2"/>
        <v>0</v>
      </c>
      <c r="P177" s="21" t="str">
        <f t="shared" si="3"/>
        <v>Sem cupom</v>
      </c>
      <c r="Q177" s="23"/>
      <c r="R177" s="23"/>
      <c r="S177" s="23"/>
      <c r="T177" s="23"/>
    </row>
    <row r="178" ht="16.5" customHeight="1">
      <c r="A178" s="14">
        <v>3407.0</v>
      </c>
      <c r="B178" s="14" t="s">
        <v>209</v>
      </c>
      <c r="C178" s="14" t="s">
        <v>29</v>
      </c>
      <c r="D178" s="15">
        <v>45524.0</v>
      </c>
      <c r="E178" s="14" t="s">
        <v>34</v>
      </c>
      <c r="F178" s="16">
        <v>15.0</v>
      </c>
      <c r="G178" s="14" t="s">
        <v>38</v>
      </c>
      <c r="H178" s="14" t="s">
        <v>30</v>
      </c>
      <c r="I178" s="16">
        <v>30.0</v>
      </c>
      <c r="J178" s="14" t="s">
        <v>30</v>
      </c>
      <c r="K178" s="16">
        <v>20.0</v>
      </c>
      <c r="L178" s="16">
        <v>7.0</v>
      </c>
      <c r="M178" s="16">
        <v>58.0</v>
      </c>
      <c r="N178" s="19">
        <f t="shared" si="1"/>
        <v>15</v>
      </c>
      <c r="O178" s="20">
        <f t="shared" si="2"/>
        <v>50</v>
      </c>
      <c r="P178" s="21" t="str">
        <f t="shared" si="3"/>
        <v>Com cupom</v>
      </c>
      <c r="Q178" s="23"/>
      <c r="R178" s="23"/>
      <c r="S178" s="23"/>
      <c r="T178" s="23"/>
    </row>
    <row r="179" ht="16.5" customHeight="1">
      <c r="A179" s="14">
        <v>3408.0</v>
      </c>
      <c r="B179" s="14" t="s">
        <v>210</v>
      </c>
      <c r="C179" s="14" t="s">
        <v>37</v>
      </c>
      <c r="D179" s="15">
        <v>45525.0</v>
      </c>
      <c r="E179" s="14" t="s">
        <v>30</v>
      </c>
      <c r="F179" s="16">
        <v>10.0</v>
      </c>
      <c r="G179" s="14" t="s">
        <v>35</v>
      </c>
      <c r="H179" s="14" t="s">
        <v>34</v>
      </c>
      <c r="I179" s="16">
        <v>0.0</v>
      </c>
      <c r="J179" s="14" t="s">
        <v>30</v>
      </c>
      <c r="K179" s="16">
        <v>20.0</v>
      </c>
      <c r="L179" s="16">
        <v>10.0</v>
      </c>
      <c r="M179" s="16">
        <v>20.0</v>
      </c>
      <c r="N179" s="19">
        <f t="shared" si="1"/>
        <v>10</v>
      </c>
      <c r="O179" s="20">
        <f t="shared" si="2"/>
        <v>20</v>
      </c>
      <c r="P179" s="21" t="str">
        <f t="shared" si="3"/>
        <v>Com cupom</v>
      </c>
      <c r="Q179" s="23"/>
      <c r="R179" s="23"/>
      <c r="S179" s="23"/>
      <c r="T179" s="23"/>
    </row>
    <row r="180" ht="16.5" customHeight="1">
      <c r="A180" s="14">
        <v>3409.0</v>
      </c>
      <c r="B180" s="14" t="s">
        <v>211</v>
      </c>
      <c r="C180" s="14" t="s">
        <v>33</v>
      </c>
      <c r="D180" s="15">
        <v>45526.0</v>
      </c>
      <c r="E180" s="14" t="s">
        <v>34</v>
      </c>
      <c r="F180" s="16">
        <v>5.0</v>
      </c>
      <c r="G180" s="14" t="s">
        <v>38</v>
      </c>
      <c r="H180" s="14" t="s">
        <v>34</v>
      </c>
      <c r="I180" s="16">
        <v>0.0</v>
      </c>
      <c r="J180" s="14" t="s">
        <v>34</v>
      </c>
      <c r="K180" s="16">
        <v>0.0</v>
      </c>
      <c r="L180" s="16">
        <v>1.0</v>
      </c>
      <c r="M180" s="16">
        <v>4.0</v>
      </c>
      <c r="N180" s="19">
        <f t="shared" si="1"/>
        <v>5</v>
      </c>
      <c r="O180" s="20">
        <f t="shared" si="2"/>
        <v>0</v>
      </c>
      <c r="P180" s="21" t="str">
        <f t="shared" si="3"/>
        <v>Com cupom</v>
      </c>
      <c r="Q180" s="23"/>
      <c r="R180" s="23"/>
      <c r="S180" s="23"/>
      <c r="T180" s="23"/>
    </row>
    <row r="181" ht="16.5" customHeight="1">
      <c r="A181" s="14">
        <v>3410.0</v>
      </c>
      <c r="B181" s="14" t="s">
        <v>212</v>
      </c>
      <c r="C181" s="14" t="s">
        <v>29</v>
      </c>
      <c r="D181" s="15">
        <v>45527.0</v>
      </c>
      <c r="E181" s="14" t="s">
        <v>30</v>
      </c>
      <c r="F181" s="16">
        <v>15.0</v>
      </c>
      <c r="G181" s="14" t="s">
        <v>31</v>
      </c>
      <c r="H181" s="14" t="s">
        <v>30</v>
      </c>
      <c r="I181" s="16">
        <v>30.0</v>
      </c>
      <c r="J181" s="14" t="s">
        <v>30</v>
      </c>
      <c r="K181" s="16">
        <v>20.0</v>
      </c>
      <c r="L181" s="16">
        <v>15.0</v>
      </c>
      <c r="M181" s="16">
        <v>50.0</v>
      </c>
      <c r="N181" s="19">
        <f t="shared" si="1"/>
        <v>15</v>
      </c>
      <c r="O181" s="20">
        <f t="shared" si="2"/>
        <v>50</v>
      </c>
      <c r="P181" s="21" t="str">
        <f t="shared" si="3"/>
        <v>Com cupom</v>
      </c>
      <c r="Q181" s="23"/>
      <c r="R181" s="23"/>
      <c r="S181" s="23"/>
      <c r="T181" s="23"/>
    </row>
    <row r="182" ht="16.5" customHeight="1">
      <c r="A182" s="14">
        <v>3411.0</v>
      </c>
      <c r="B182" s="14" t="s">
        <v>213</v>
      </c>
      <c r="C182" s="14" t="s">
        <v>37</v>
      </c>
      <c r="D182" s="15">
        <v>45528.0</v>
      </c>
      <c r="E182" s="14" t="s">
        <v>34</v>
      </c>
      <c r="F182" s="16">
        <v>10.0</v>
      </c>
      <c r="G182" s="14" t="s">
        <v>31</v>
      </c>
      <c r="H182" s="14" t="s">
        <v>34</v>
      </c>
      <c r="I182" s="16">
        <v>0.0</v>
      </c>
      <c r="J182" s="14" t="s">
        <v>30</v>
      </c>
      <c r="K182" s="16">
        <v>20.0</v>
      </c>
      <c r="L182" s="16">
        <v>5.0</v>
      </c>
      <c r="M182" s="16">
        <v>25.0</v>
      </c>
      <c r="N182" s="19">
        <f t="shared" si="1"/>
        <v>10</v>
      </c>
      <c r="O182" s="20">
        <f t="shared" si="2"/>
        <v>20</v>
      </c>
      <c r="P182" s="21" t="str">
        <f t="shared" si="3"/>
        <v>Com cupom</v>
      </c>
      <c r="Q182" s="23"/>
      <c r="R182" s="23"/>
      <c r="S182" s="23"/>
      <c r="T182" s="23"/>
    </row>
    <row r="183" ht="16.5" customHeight="1">
      <c r="A183" s="14">
        <v>3412.0</v>
      </c>
      <c r="B183" s="14" t="s">
        <v>214</v>
      </c>
      <c r="C183" s="14" t="s">
        <v>33</v>
      </c>
      <c r="D183" s="15">
        <v>45529.0</v>
      </c>
      <c r="E183" s="14" t="s">
        <v>30</v>
      </c>
      <c r="F183" s="16">
        <v>5.0</v>
      </c>
      <c r="G183" s="14" t="s">
        <v>35</v>
      </c>
      <c r="H183" s="14" t="s">
        <v>34</v>
      </c>
      <c r="I183" s="16">
        <v>0.0</v>
      </c>
      <c r="J183" s="14" t="s">
        <v>34</v>
      </c>
      <c r="K183" s="16">
        <v>0.0</v>
      </c>
      <c r="L183" s="16">
        <v>0.0</v>
      </c>
      <c r="M183" s="16">
        <v>5.0</v>
      </c>
      <c r="N183" s="19">
        <f t="shared" si="1"/>
        <v>5</v>
      </c>
      <c r="O183" s="20">
        <f t="shared" si="2"/>
        <v>0</v>
      </c>
      <c r="P183" s="21" t="str">
        <f t="shared" si="3"/>
        <v>Sem cupom</v>
      </c>
      <c r="Q183" s="23"/>
      <c r="R183" s="23"/>
      <c r="S183" s="23"/>
      <c r="T183" s="23"/>
    </row>
    <row r="184" ht="16.5" customHeight="1">
      <c r="A184" s="14">
        <v>3413.0</v>
      </c>
      <c r="B184" s="14" t="s">
        <v>215</v>
      </c>
      <c r="C184" s="14" t="s">
        <v>29</v>
      </c>
      <c r="D184" s="15">
        <v>45530.0</v>
      </c>
      <c r="E184" s="14" t="s">
        <v>34</v>
      </c>
      <c r="F184" s="16">
        <v>15.0</v>
      </c>
      <c r="G184" s="14" t="s">
        <v>38</v>
      </c>
      <c r="H184" s="14" t="s">
        <v>30</v>
      </c>
      <c r="I184" s="16">
        <v>30.0</v>
      </c>
      <c r="J184" s="14" t="s">
        <v>30</v>
      </c>
      <c r="K184" s="16">
        <v>20.0</v>
      </c>
      <c r="L184" s="16">
        <v>20.0</v>
      </c>
      <c r="M184" s="16">
        <v>45.0</v>
      </c>
      <c r="N184" s="19">
        <f t="shared" si="1"/>
        <v>15</v>
      </c>
      <c r="O184" s="20">
        <f t="shared" si="2"/>
        <v>50</v>
      </c>
      <c r="P184" s="21" t="str">
        <f t="shared" si="3"/>
        <v>Com cupom</v>
      </c>
      <c r="Q184" s="23"/>
      <c r="R184" s="23"/>
      <c r="S184" s="23"/>
      <c r="T184" s="23"/>
    </row>
    <row r="185" ht="16.5" customHeight="1">
      <c r="A185" s="14">
        <v>3414.0</v>
      </c>
      <c r="B185" s="14" t="s">
        <v>216</v>
      </c>
      <c r="C185" s="14" t="s">
        <v>37</v>
      </c>
      <c r="D185" s="15">
        <v>45531.0</v>
      </c>
      <c r="E185" s="14" t="s">
        <v>30</v>
      </c>
      <c r="F185" s="16">
        <v>10.0</v>
      </c>
      <c r="G185" s="14" t="s">
        <v>38</v>
      </c>
      <c r="H185" s="14" t="s">
        <v>34</v>
      </c>
      <c r="I185" s="16">
        <v>0.0</v>
      </c>
      <c r="J185" s="14" t="s">
        <v>30</v>
      </c>
      <c r="K185" s="16">
        <v>20.0</v>
      </c>
      <c r="L185" s="16">
        <v>12.0</v>
      </c>
      <c r="M185" s="16">
        <v>18.0</v>
      </c>
      <c r="N185" s="19">
        <f t="shared" si="1"/>
        <v>10</v>
      </c>
      <c r="O185" s="20">
        <f t="shared" si="2"/>
        <v>20</v>
      </c>
      <c r="P185" s="21" t="str">
        <f t="shared" si="3"/>
        <v>Com cupom</v>
      </c>
      <c r="Q185" s="23"/>
      <c r="R185" s="23"/>
      <c r="S185" s="23"/>
      <c r="T185" s="23"/>
    </row>
    <row r="186" ht="16.5" customHeight="1">
      <c r="A186" s="14">
        <v>3415.0</v>
      </c>
      <c r="B186" s="14" t="s">
        <v>217</v>
      </c>
      <c r="C186" s="14" t="s">
        <v>33</v>
      </c>
      <c r="D186" s="15">
        <v>45532.0</v>
      </c>
      <c r="E186" s="14" t="s">
        <v>34</v>
      </c>
      <c r="F186" s="16">
        <v>5.0</v>
      </c>
      <c r="G186" s="14" t="s">
        <v>31</v>
      </c>
      <c r="H186" s="14" t="s">
        <v>34</v>
      </c>
      <c r="I186" s="16">
        <v>0.0</v>
      </c>
      <c r="J186" s="14" t="s">
        <v>34</v>
      </c>
      <c r="K186" s="16">
        <v>0.0</v>
      </c>
      <c r="L186" s="16">
        <v>2.0</v>
      </c>
      <c r="M186" s="16">
        <v>3.0</v>
      </c>
      <c r="N186" s="19">
        <f t="shared" si="1"/>
        <v>5</v>
      </c>
      <c r="O186" s="20">
        <f t="shared" si="2"/>
        <v>0</v>
      </c>
      <c r="P186" s="21" t="str">
        <f t="shared" si="3"/>
        <v>Com cupom</v>
      </c>
      <c r="Q186" s="23"/>
      <c r="R186" s="23"/>
      <c r="S186" s="23"/>
      <c r="T186" s="23"/>
    </row>
    <row r="187" ht="16.5" customHeight="1">
      <c r="A187" s="14">
        <v>3416.0</v>
      </c>
      <c r="B187" s="14" t="s">
        <v>218</v>
      </c>
      <c r="C187" s="14" t="s">
        <v>29</v>
      </c>
      <c r="D187" s="15">
        <v>45533.0</v>
      </c>
      <c r="E187" s="14" t="s">
        <v>30</v>
      </c>
      <c r="F187" s="16">
        <v>15.0</v>
      </c>
      <c r="G187" s="14" t="s">
        <v>35</v>
      </c>
      <c r="H187" s="14" t="s">
        <v>30</v>
      </c>
      <c r="I187" s="16">
        <v>30.0</v>
      </c>
      <c r="J187" s="14" t="s">
        <v>30</v>
      </c>
      <c r="K187" s="16">
        <v>20.0</v>
      </c>
      <c r="L187" s="16">
        <v>5.0</v>
      </c>
      <c r="M187" s="16">
        <v>60.0</v>
      </c>
      <c r="N187" s="19">
        <f t="shared" si="1"/>
        <v>15</v>
      </c>
      <c r="O187" s="20">
        <f t="shared" si="2"/>
        <v>50</v>
      </c>
      <c r="P187" s="21" t="str">
        <f t="shared" si="3"/>
        <v>Com cupom</v>
      </c>
      <c r="Q187" s="23"/>
      <c r="R187" s="23"/>
      <c r="S187" s="23"/>
      <c r="T187" s="23"/>
    </row>
    <row r="188" ht="16.5" customHeight="1">
      <c r="A188" s="14">
        <v>3417.0</v>
      </c>
      <c r="B188" s="14" t="s">
        <v>219</v>
      </c>
      <c r="C188" s="14" t="s">
        <v>37</v>
      </c>
      <c r="D188" s="15">
        <v>45534.0</v>
      </c>
      <c r="E188" s="14" t="s">
        <v>34</v>
      </c>
      <c r="F188" s="16">
        <v>10.0</v>
      </c>
      <c r="G188" s="14" t="s">
        <v>31</v>
      </c>
      <c r="H188" s="14" t="s">
        <v>34</v>
      </c>
      <c r="I188" s="16">
        <v>0.0</v>
      </c>
      <c r="J188" s="14" t="s">
        <v>30</v>
      </c>
      <c r="K188" s="16">
        <v>20.0</v>
      </c>
      <c r="L188" s="16">
        <v>10.0</v>
      </c>
      <c r="M188" s="16">
        <v>20.0</v>
      </c>
      <c r="N188" s="19">
        <f t="shared" si="1"/>
        <v>10</v>
      </c>
      <c r="O188" s="20">
        <f t="shared" si="2"/>
        <v>20</v>
      </c>
      <c r="P188" s="21" t="str">
        <f t="shared" si="3"/>
        <v>Com cupom</v>
      </c>
      <c r="Q188" s="23"/>
      <c r="R188" s="23"/>
      <c r="S188" s="23"/>
      <c r="T188" s="23"/>
    </row>
    <row r="189" ht="16.5" customHeight="1">
      <c r="A189" s="14">
        <v>3418.0</v>
      </c>
      <c r="B189" s="14" t="s">
        <v>220</v>
      </c>
      <c r="C189" s="14" t="s">
        <v>33</v>
      </c>
      <c r="D189" s="15">
        <v>45535.0</v>
      </c>
      <c r="E189" s="14" t="s">
        <v>30</v>
      </c>
      <c r="F189" s="16">
        <v>5.0</v>
      </c>
      <c r="G189" s="14" t="s">
        <v>38</v>
      </c>
      <c r="H189" s="14" t="s">
        <v>34</v>
      </c>
      <c r="I189" s="16">
        <v>0.0</v>
      </c>
      <c r="J189" s="14" t="s">
        <v>34</v>
      </c>
      <c r="K189" s="16">
        <v>0.0</v>
      </c>
      <c r="L189" s="16">
        <v>0.0</v>
      </c>
      <c r="M189" s="16">
        <v>5.0</v>
      </c>
      <c r="N189" s="19">
        <f t="shared" si="1"/>
        <v>5</v>
      </c>
      <c r="O189" s="20">
        <f t="shared" si="2"/>
        <v>0</v>
      </c>
      <c r="P189" s="21" t="str">
        <f t="shared" si="3"/>
        <v>Sem cupom</v>
      </c>
      <c r="Q189" s="23"/>
      <c r="R189" s="23"/>
      <c r="S189" s="23"/>
      <c r="T189" s="23"/>
    </row>
    <row r="190" ht="16.5" customHeight="1">
      <c r="A190" s="14">
        <v>3419.0</v>
      </c>
      <c r="B190" s="14" t="s">
        <v>221</v>
      </c>
      <c r="C190" s="14" t="s">
        <v>29</v>
      </c>
      <c r="D190" s="15">
        <v>45536.0</v>
      </c>
      <c r="E190" s="14" t="s">
        <v>34</v>
      </c>
      <c r="F190" s="16">
        <v>15.0</v>
      </c>
      <c r="G190" s="14" t="s">
        <v>31</v>
      </c>
      <c r="H190" s="14" t="s">
        <v>30</v>
      </c>
      <c r="I190" s="16">
        <v>30.0</v>
      </c>
      <c r="J190" s="14" t="s">
        <v>30</v>
      </c>
      <c r="K190" s="16">
        <v>20.0</v>
      </c>
      <c r="L190" s="16">
        <v>3.0</v>
      </c>
      <c r="M190" s="16">
        <v>62.0</v>
      </c>
      <c r="N190" s="19">
        <f t="shared" si="1"/>
        <v>15</v>
      </c>
      <c r="O190" s="20">
        <f t="shared" si="2"/>
        <v>50</v>
      </c>
      <c r="P190" s="21" t="str">
        <f t="shared" si="3"/>
        <v>Com cupom</v>
      </c>
      <c r="Q190" s="23"/>
      <c r="R190" s="23"/>
      <c r="S190" s="23"/>
      <c r="T190" s="23"/>
    </row>
    <row r="191" ht="16.5" customHeight="1">
      <c r="A191" s="14">
        <v>3420.0</v>
      </c>
      <c r="B191" s="14" t="s">
        <v>222</v>
      </c>
      <c r="C191" s="14" t="s">
        <v>37</v>
      </c>
      <c r="D191" s="15">
        <v>45537.0</v>
      </c>
      <c r="E191" s="14" t="s">
        <v>30</v>
      </c>
      <c r="F191" s="16">
        <v>10.0</v>
      </c>
      <c r="G191" s="14" t="s">
        <v>35</v>
      </c>
      <c r="H191" s="14" t="s">
        <v>34</v>
      </c>
      <c r="I191" s="16">
        <v>0.0</v>
      </c>
      <c r="J191" s="14" t="s">
        <v>30</v>
      </c>
      <c r="K191" s="16">
        <v>20.0</v>
      </c>
      <c r="L191" s="16">
        <v>15.0</v>
      </c>
      <c r="M191" s="16">
        <v>15.0</v>
      </c>
      <c r="N191" s="19">
        <f t="shared" si="1"/>
        <v>10</v>
      </c>
      <c r="O191" s="20">
        <f t="shared" si="2"/>
        <v>20</v>
      </c>
      <c r="P191" s="21" t="str">
        <f t="shared" si="3"/>
        <v>Com cupom</v>
      </c>
      <c r="Q191" s="23"/>
      <c r="R191" s="23"/>
      <c r="S191" s="23"/>
      <c r="T191" s="23"/>
    </row>
    <row r="192" ht="16.5" customHeight="1">
      <c r="A192" s="14">
        <v>3421.0</v>
      </c>
      <c r="B192" s="14" t="s">
        <v>51</v>
      </c>
      <c r="C192" s="14" t="s">
        <v>33</v>
      </c>
      <c r="D192" s="15">
        <v>45538.0</v>
      </c>
      <c r="E192" s="14" t="s">
        <v>34</v>
      </c>
      <c r="F192" s="16">
        <v>5.0</v>
      </c>
      <c r="G192" s="14" t="s">
        <v>31</v>
      </c>
      <c r="H192" s="14" t="s">
        <v>34</v>
      </c>
      <c r="I192" s="16">
        <v>0.0</v>
      </c>
      <c r="J192" s="14" t="s">
        <v>34</v>
      </c>
      <c r="K192" s="16">
        <v>0.0</v>
      </c>
      <c r="L192" s="16">
        <v>1.0</v>
      </c>
      <c r="M192" s="16">
        <v>4.0</v>
      </c>
      <c r="N192" s="19">
        <f t="shared" si="1"/>
        <v>5</v>
      </c>
      <c r="O192" s="20">
        <f t="shared" si="2"/>
        <v>0</v>
      </c>
      <c r="P192" s="21" t="str">
        <f t="shared" si="3"/>
        <v>Com cupom</v>
      </c>
      <c r="Q192" s="23"/>
      <c r="R192" s="23"/>
      <c r="S192" s="23"/>
      <c r="T192" s="23"/>
    </row>
    <row r="193" ht="16.5" customHeight="1">
      <c r="A193" s="14">
        <v>3422.0</v>
      </c>
      <c r="B193" s="14" t="s">
        <v>223</v>
      </c>
      <c r="C193" s="14" t="s">
        <v>29</v>
      </c>
      <c r="D193" s="15">
        <v>45539.0</v>
      </c>
      <c r="E193" s="14" t="s">
        <v>30</v>
      </c>
      <c r="F193" s="16">
        <v>15.0</v>
      </c>
      <c r="G193" s="14" t="s">
        <v>38</v>
      </c>
      <c r="H193" s="14" t="s">
        <v>30</v>
      </c>
      <c r="I193" s="16">
        <v>30.0</v>
      </c>
      <c r="J193" s="14" t="s">
        <v>30</v>
      </c>
      <c r="K193" s="16">
        <v>20.0</v>
      </c>
      <c r="L193" s="16">
        <v>7.0</v>
      </c>
      <c r="M193" s="16">
        <v>58.0</v>
      </c>
      <c r="N193" s="19">
        <f t="shared" si="1"/>
        <v>15</v>
      </c>
      <c r="O193" s="20">
        <f t="shared" si="2"/>
        <v>50</v>
      </c>
      <c r="P193" s="21" t="str">
        <f t="shared" si="3"/>
        <v>Com cupom</v>
      </c>
      <c r="Q193" s="23"/>
      <c r="R193" s="23"/>
      <c r="S193" s="23"/>
      <c r="T193" s="23"/>
    </row>
    <row r="194" ht="16.5" customHeight="1">
      <c r="A194" s="14">
        <v>3423.0</v>
      </c>
      <c r="B194" s="14" t="s">
        <v>224</v>
      </c>
      <c r="C194" s="14" t="s">
        <v>37</v>
      </c>
      <c r="D194" s="15">
        <v>45540.0</v>
      </c>
      <c r="E194" s="14" t="s">
        <v>34</v>
      </c>
      <c r="F194" s="16">
        <v>10.0</v>
      </c>
      <c r="G194" s="14" t="s">
        <v>31</v>
      </c>
      <c r="H194" s="14" t="s">
        <v>34</v>
      </c>
      <c r="I194" s="16">
        <v>0.0</v>
      </c>
      <c r="J194" s="14" t="s">
        <v>30</v>
      </c>
      <c r="K194" s="16">
        <v>20.0</v>
      </c>
      <c r="L194" s="16">
        <v>10.0</v>
      </c>
      <c r="M194" s="16">
        <v>20.0</v>
      </c>
      <c r="N194" s="19">
        <f t="shared" si="1"/>
        <v>10</v>
      </c>
      <c r="O194" s="20">
        <f t="shared" si="2"/>
        <v>20</v>
      </c>
      <c r="P194" s="21" t="str">
        <f t="shared" si="3"/>
        <v>Com cupom</v>
      </c>
      <c r="Q194" s="23"/>
      <c r="R194" s="23"/>
      <c r="S194" s="23"/>
      <c r="T194" s="23"/>
    </row>
    <row r="195" ht="16.5" customHeight="1">
      <c r="A195" s="14">
        <v>3424.0</v>
      </c>
      <c r="B195" s="14" t="s">
        <v>50</v>
      </c>
      <c r="C195" s="14" t="s">
        <v>33</v>
      </c>
      <c r="D195" s="15">
        <v>45541.0</v>
      </c>
      <c r="E195" s="14" t="s">
        <v>30</v>
      </c>
      <c r="F195" s="16">
        <v>5.0</v>
      </c>
      <c r="G195" s="14" t="s">
        <v>35</v>
      </c>
      <c r="H195" s="14" t="s">
        <v>34</v>
      </c>
      <c r="I195" s="16">
        <v>0.0</v>
      </c>
      <c r="J195" s="14" t="s">
        <v>34</v>
      </c>
      <c r="K195" s="16">
        <v>0.0</v>
      </c>
      <c r="L195" s="16">
        <v>0.0</v>
      </c>
      <c r="M195" s="16">
        <v>5.0</v>
      </c>
      <c r="N195" s="19">
        <f t="shared" si="1"/>
        <v>5</v>
      </c>
      <c r="O195" s="20">
        <f t="shared" si="2"/>
        <v>0</v>
      </c>
      <c r="P195" s="21" t="str">
        <f t="shared" si="3"/>
        <v>Sem cupom</v>
      </c>
      <c r="Q195" s="23"/>
      <c r="R195" s="23"/>
      <c r="S195" s="23"/>
      <c r="T195" s="23"/>
    </row>
    <row r="196" ht="16.5" customHeight="1">
      <c r="A196" s="14">
        <v>3425.0</v>
      </c>
      <c r="B196" s="14" t="s">
        <v>225</v>
      </c>
      <c r="C196" s="14" t="s">
        <v>29</v>
      </c>
      <c r="D196" s="15">
        <v>45542.0</v>
      </c>
      <c r="E196" s="14" t="s">
        <v>34</v>
      </c>
      <c r="F196" s="16">
        <v>15.0</v>
      </c>
      <c r="G196" s="14" t="s">
        <v>31</v>
      </c>
      <c r="H196" s="14" t="s">
        <v>30</v>
      </c>
      <c r="I196" s="16">
        <v>30.0</v>
      </c>
      <c r="J196" s="14" t="s">
        <v>30</v>
      </c>
      <c r="K196" s="16">
        <v>20.0</v>
      </c>
      <c r="L196" s="16">
        <v>20.0</v>
      </c>
      <c r="M196" s="16">
        <v>45.0</v>
      </c>
      <c r="N196" s="19">
        <f t="shared" si="1"/>
        <v>15</v>
      </c>
      <c r="O196" s="20">
        <f t="shared" si="2"/>
        <v>50</v>
      </c>
      <c r="P196" s="21" t="str">
        <f t="shared" si="3"/>
        <v>Com cupom</v>
      </c>
      <c r="Q196" s="23"/>
      <c r="R196" s="23"/>
      <c r="S196" s="23"/>
      <c r="T196" s="23"/>
    </row>
    <row r="197" ht="16.5" customHeight="1">
      <c r="A197" s="14">
        <v>3426.0</v>
      </c>
      <c r="B197" s="14" t="s">
        <v>203</v>
      </c>
      <c r="C197" s="14" t="s">
        <v>37</v>
      </c>
      <c r="D197" s="15">
        <v>45543.0</v>
      </c>
      <c r="E197" s="14" t="s">
        <v>30</v>
      </c>
      <c r="F197" s="16">
        <v>10.0</v>
      </c>
      <c r="G197" s="14" t="s">
        <v>38</v>
      </c>
      <c r="H197" s="14" t="s">
        <v>34</v>
      </c>
      <c r="I197" s="16">
        <v>0.0</v>
      </c>
      <c r="J197" s="14" t="s">
        <v>30</v>
      </c>
      <c r="K197" s="16">
        <v>20.0</v>
      </c>
      <c r="L197" s="16">
        <v>15.0</v>
      </c>
      <c r="M197" s="16">
        <v>15.0</v>
      </c>
      <c r="N197" s="19">
        <f t="shared" si="1"/>
        <v>10</v>
      </c>
      <c r="O197" s="20">
        <f t="shared" si="2"/>
        <v>20</v>
      </c>
      <c r="P197" s="21" t="str">
        <f t="shared" si="3"/>
        <v>Com cupom</v>
      </c>
      <c r="Q197" s="23"/>
      <c r="R197" s="23"/>
      <c r="S197" s="23"/>
      <c r="T197" s="23"/>
    </row>
    <row r="198" ht="16.5" customHeight="1">
      <c r="A198" s="14">
        <v>3427.0</v>
      </c>
      <c r="B198" s="14" t="s">
        <v>226</v>
      </c>
      <c r="C198" s="14" t="s">
        <v>33</v>
      </c>
      <c r="D198" s="15">
        <v>45544.0</v>
      </c>
      <c r="E198" s="14" t="s">
        <v>34</v>
      </c>
      <c r="F198" s="16">
        <v>5.0</v>
      </c>
      <c r="G198" s="14" t="s">
        <v>31</v>
      </c>
      <c r="H198" s="14" t="s">
        <v>34</v>
      </c>
      <c r="I198" s="16">
        <v>0.0</v>
      </c>
      <c r="J198" s="14" t="s">
        <v>34</v>
      </c>
      <c r="K198" s="16">
        <v>0.0</v>
      </c>
      <c r="L198" s="16">
        <v>1.0</v>
      </c>
      <c r="M198" s="16">
        <v>4.0</v>
      </c>
      <c r="N198" s="19">
        <f t="shared" si="1"/>
        <v>5</v>
      </c>
      <c r="O198" s="20">
        <f t="shared" si="2"/>
        <v>0</v>
      </c>
      <c r="P198" s="21" t="str">
        <f t="shared" si="3"/>
        <v>Com cupom</v>
      </c>
      <c r="Q198" s="23"/>
      <c r="R198" s="23"/>
      <c r="S198" s="23"/>
      <c r="T198" s="23"/>
    </row>
    <row r="199" ht="16.5" customHeight="1">
      <c r="A199" s="14">
        <v>3428.0</v>
      </c>
      <c r="B199" s="14" t="s">
        <v>227</v>
      </c>
      <c r="C199" s="14" t="s">
        <v>29</v>
      </c>
      <c r="D199" s="15">
        <v>45545.0</v>
      </c>
      <c r="E199" s="14" t="s">
        <v>30</v>
      </c>
      <c r="F199" s="16">
        <v>15.0</v>
      </c>
      <c r="G199" s="14" t="s">
        <v>35</v>
      </c>
      <c r="H199" s="14" t="s">
        <v>30</v>
      </c>
      <c r="I199" s="16">
        <v>30.0</v>
      </c>
      <c r="J199" s="14" t="s">
        <v>30</v>
      </c>
      <c r="K199" s="16">
        <v>20.0</v>
      </c>
      <c r="L199" s="16">
        <v>3.0</v>
      </c>
      <c r="M199" s="16">
        <v>62.0</v>
      </c>
      <c r="N199" s="19">
        <f t="shared" si="1"/>
        <v>15</v>
      </c>
      <c r="O199" s="20">
        <f t="shared" si="2"/>
        <v>50</v>
      </c>
      <c r="P199" s="21" t="str">
        <f t="shared" si="3"/>
        <v>Com cupom</v>
      </c>
      <c r="Q199" s="23"/>
      <c r="R199" s="23"/>
      <c r="S199" s="23"/>
      <c r="T199" s="23"/>
    </row>
    <row r="200" ht="16.5" customHeight="1">
      <c r="A200" s="14">
        <v>3429.0</v>
      </c>
      <c r="B200" s="14" t="s">
        <v>228</v>
      </c>
      <c r="C200" s="14" t="s">
        <v>37</v>
      </c>
      <c r="D200" s="15">
        <v>45546.0</v>
      </c>
      <c r="E200" s="14" t="s">
        <v>34</v>
      </c>
      <c r="F200" s="16">
        <v>10.0</v>
      </c>
      <c r="G200" s="14" t="s">
        <v>31</v>
      </c>
      <c r="H200" s="14" t="s">
        <v>34</v>
      </c>
      <c r="I200" s="16">
        <v>0.0</v>
      </c>
      <c r="J200" s="14" t="s">
        <v>30</v>
      </c>
      <c r="K200" s="16">
        <v>20.0</v>
      </c>
      <c r="L200" s="16">
        <v>10.0</v>
      </c>
      <c r="M200" s="16">
        <v>20.0</v>
      </c>
      <c r="N200" s="19">
        <f t="shared" si="1"/>
        <v>10</v>
      </c>
      <c r="O200" s="20">
        <f t="shared" si="2"/>
        <v>20</v>
      </c>
      <c r="P200" s="21" t="str">
        <f t="shared" si="3"/>
        <v>Com cupom</v>
      </c>
      <c r="Q200" s="23"/>
      <c r="R200" s="23"/>
      <c r="S200" s="23"/>
      <c r="T200" s="23"/>
    </row>
    <row r="201" ht="16.5" customHeight="1">
      <c r="A201" s="14">
        <v>3430.0</v>
      </c>
      <c r="B201" s="14" t="s">
        <v>229</v>
      </c>
      <c r="C201" s="14" t="s">
        <v>33</v>
      </c>
      <c r="D201" s="15">
        <v>45547.0</v>
      </c>
      <c r="E201" s="14" t="s">
        <v>30</v>
      </c>
      <c r="F201" s="16">
        <v>5.0</v>
      </c>
      <c r="G201" s="14" t="s">
        <v>38</v>
      </c>
      <c r="H201" s="14" t="s">
        <v>34</v>
      </c>
      <c r="I201" s="16">
        <v>0.0</v>
      </c>
      <c r="J201" s="14" t="s">
        <v>34</v>
      </c>
      <c r="K201" s="16">
        <v>0.0</v>
      </c>
      <c r="L201" s="16">
        <v>0.0</v>
      </c>
      <c r="M201" s="16">
        <v>5.0</v>
      </c>
      <c r="N201" s="19">
        <f t="shared" si="1"/>
        <v>5</v>
      </c>
      <c r="O201" s="20">
        <f t="shared" si="2"/>
        <v>0</v>
      </c>
      <c r="P201" s="21" t="str">
        <f t="shared" si="3"/>
        <v>Sem cupom</v>
      </c>
      <c r="Q201" s="23"/>
      <c r="R201" s="23"/>
      <c r="S201" s="23"/>
      <c r="T201" s="23"/>
    </row>
    <row r="202" ht="16.5" customHeight="1">
      <c r="A202" s="14">
        <v>3431.0</v>
      </c>
      <c r="B202" s="14" t="s">
        <v>230</v>
      </c>
      <c r="C202" s="14" t="s">
        <v>29</v>
      </c>
      <c r="D202" s="15">
        <v>45548.0</v>
      </c>
      <c r="E202" s="14" t="s">
        <v>34</v>
      </c>
      <c r="F202" s="16">
        <v>15.0</v>
      </c>
      <c r="G202" s="14" t="s">
        <v>31</v>
      </c>
      <c r="H202" s="14" t="s">
        <v>30</v>
      </c>
      <c r="I202" s="16">
        <v>30.0</v>
      </c>
      <c r="J202" s="14" t="s">
        <v>30</v>
      </c>
      <c r="K202" s="16">
        <v>20.0</v>
      </c>
      <c r="L202" s="16">
        <v>15.0</v>
      </c>
      <c r="M202" s="16">
        <v>50.0</v>
      </c>
      <c r="N202" s="19">
        <f t="shared" si="1"/>
        <v>15</v>
      </c>
      <c r="O202" s="20">
        <f t="shared" si="2"/>
        <v>50</v>
      </c>
      <c r="P202" s="21" t="str">
        <f t="shared" si="3"/>
        <v>Com cupom</v>
      </c>
      <c r="Q202" s="23"/>
      <c r="R202" s="23"/>
      <c r="S202" s="23"/>
      <c r="T202" s="23"/>
    </row>
    <row r="203" ht="16.5" customHeight="1">
      <c r="A203" s="14">
        <v>3432.0</v>
      </c>
      <c r="B203" s="14" t="s">
        <v>231</v>
      </c>
      <c r="C203" s="14" t="s">
        <v>37</v>
      </c>
      <c r="D203" s="15">
        <v>45549.0</v>
      </c>
      <c r="E203" s="14" t="s">
        <v>30</v>
      </c>
      <c r="F203" s="16">
        <v>10.0</v>
      </c>
      <c r="G203" s="14" t="s">
        <v>35</v>
      </c>
      <c r="H203" s="14" t="s">
        <v>34</v>
      </c>
      <c r="I203" s="16">
        <v>0.0</v>
      </c>
      <c r="J203" s="14" t="s">
        <v>30</v>
      </c>
      <c r="K203" s="16">
        <v>20.0</v>
      </c>
      <c r="L203" s="16">
        <v>15.0</v>
      </c>
      <c r="M203" s="16">
        <v>15.0</v>
      </c>
      <c r="N203" s="19">
        <f t="shared" si="1"/>
        <v>10</v>
      </c>
      <c r="O203" s="20">
        <f t="shared" si="2"/>
        <v>20</v>
      </c>
      <c r="P203" s="21" t="str">
        <f t="shared" si="3"/>
        <v>Com cupom</v>
      </c>
      <c r="Q203" s="23"/>
      <c r="R203" s="23"/>
      <c r="S203" s="23"/>
      <c r="T203" s="23"/>
    </row>
    <row r="204" ht="16.5" customHeight="1">
      <c r="A204" s="14">
        <v>3433.0</v>
      </c>
      <c r="B204" s="14" t="s">
        <v>232</v>
      </c>
      <c r="C204" s="14" t="s">
        <v>33</v>
      </c>
      <c r="D204" s="15">
        <v>45550.0</v>
      </c>
      <c r="E204" s="14" t="s">
        <v>34</v>
      </c>
      <c r="F204" s="16">
        <v>5.0</v>
      </c>
      <c r="G204" s="14" t="s">
        <v>31</v>
      </c>
      <c r="H204" s="14" t="s">
        <v>34</v>
      </c>
      <c r="I204" s="16">
        <v>0.0</v>
      </c>
      <c r="J204" s="14" t="s">
        <v>34</v>
      </c>
      <c r="K204" s="16">
        <v>0.0</v>
      </c>
      <c r="L204" s="16">
        <v>1.0</v>
      </c>
      <c r="M204" s="16">
        <v>4.0</v>
      </c>
      <c r="N204" s="19">
        <f t="shared" si="1"/>
        <v>5</v>
      </c>
      <c r="O204" s="20">
        <f t="shared" si="2"/>
        <v>0</v>
      </c>
      <c r="P204" s="21" t="str">
        <f t="shared" si="3"/>
        <v>Com cupom</v>
      </c>
      <c r="Q204" s="23"/>
      <c r="R204" s="23"/>
      <c r="S204" s="23"/>
      <c r="T204" s="23"/>
    </row>
    <row r="205" ht="16.5" customHeight="1">
      <c r="A205" s="14">
        <v>3434.0</v>
      </c>
      <c r="B205" s="14" t="s">
        <v>233</v>
      </c>
      <c r="C205" s="14" t="s">
        <v>29</v>
      </c>
      <c r="D205" s="15">
        <v>45551.0</v>
      </c>
      <c r="E205" s="14" t="s">
        <v>30</v>
      </c>
      <c r="F205" s="16">
        <v>15.0</v>
      </c>
      <c r="G205" s="14" t="s">
        <v>38</v>
      </c>
      <c r="H205" s="14" t="s">
        <v>30</v>
      </c>
      <c r="I205" s="16">
        <v>30.0</v>
      </c>
      <c r="J205" s="14" t="s">
        <v>30</v>
      </c>
      <c r="K205" s="16">
        <v>20.0</v>
      </c>
      <c r="L205" s="16">
        <v>7.0</v>
      </c>
      <c r="M205" s="16">
        <v>58.0</v>
      </c>
      <c r="N205" s="19">
        <f t="shared" si="1"/>
        <v>15</v>
      </c>
      <c r="O205" s="20">
        <f t="shared" si="2"/>
        <v>50</v>
      </c>
      <c r="P205" s="21" t="str">
        <f t="shared" si="3"/>
        <v>Com cupom</v>
      </c>
      <c r="Q205" s="23"/>
      <c r="R205" s="23"/>
      <c r="S205" s="23"/>
      <c r="T205" s="23"/>
    </row>
    <row r="206" ht="16.5" customHeight="1">
      <c r="A206" s="14">
        <v>3435.0</v>
      </c>
      <c r="B206" s="14" t="s">
        <v>234</v>
      </c>
      <c r="C206" s="14" t="s">
        <v>37</v>
      </c>
      <c r="D206" s="15">
        <v>45552.0</v>
      </c>
      <c r="E206" s="14" t="s">
        <v>34</v>
      </c>
      <c r="F206" s="16">
        <v>10.0</v>
      </c>
      <c r="G206" s="14" t="s">
        <v>31</v>
      </c>
      <c r="H206" s="14" t="s">
        <v>34</v>
      </c>
      <c r="I206" s="16">
        <v>0.0</v>
      </c>
      <c r="J206" s="14" t="s">
        <v>30</v>
      </c>
      <c r="K206" s="16">
        <v>20.0</v>
      </c>
      <c r="L206" s="16">
        <v>10.0</v>
      </c>
      <c r="M206" s="16">
        <v>20.0</v>
      </c>
      <c r="N206" s="19">
        <f t="shared" si="1"/>
        <v>10</v>
      </c>
      <c r="O206" s="20">
        <f t="shared" si="2"/>
        <v>20</v>
      </c>
      <c r="P206" s="21" t="str">
        <f t="shared" si="3"/>
        <v>Com cupom</v>
      </c>
      <c r="Q206" s="23"/>
      <c r="R206" s="23"/>
      <c r="S206" s="23"/>
      <c r="T206" s="23"/>
    </row>
    <row r="207" ht="16.5" customHeight="1">
      <c r="A207" s="14">
        <v>3436.0</v>
      </c>
      <c r="B207" s="14" t="s">
        <v>235</v>
      </c>
      <c r="C207" s="14" t="s">
        <v>33</v>
      </c>
      <c r="D207" s="15">
        <v>45553.0</v>
      </c>
      <c r="E207" s="14" t="s">
        <v>30</v>
      </c>
      <c r="F207" s="16">
        <v>5.0</v>
      </c>
      <c r="G207" s="14" t="s">
        <v>31</v>
      </c>
      <c r="H207" s="14" t="s">
        <v>34</v>
      </c>
      <c r="I207" s="16">
        <v>0.0</v>
      </c>
      <c r="J207" s="14" t="s">
        <v>34</v>
      </c>
      <c r="K207" s="16">
        <v>0.0</v>
      </c>
      <c r="L207" s="16">
        <v>0.0</v>
      </c>
      <c r="M207" s="16">
        <v>5.0</v>
      </c>
      <c r="N207" s="19">
        <f t="shared" si="1"/>
        <v>5</v>
      </c>
      <c r="O207" s="20">
        <f t="shared" si="2"/>
        <v>0</v>
      </c>
      <c r="P207" s="21" t="str">
        <f t="shared" si="3"/>
        <v>Sem cupom</v>
      </c>
      <c r="Q207" s="23"/>
      <c r="R207" s="23"/>
      <c r="S207" s="23"/>
      <c r="T207" s="23"/>
    </row>
    <row r="208" ht="16.5" customHeight="1">
      <c r="A208" s="14">
        <v>3437.0</v>
      </c>
      <c r="B208" s="14" t="s">
        <v>236</v>
      </c>
      <c r="C208" s="14" t="s">
        <v>29</v>
      </c>
      <c r="D208" s="15">
        <v>45554.0</v>
      </c>
      <c r="E208" s="14" t="s">
        <v>34</v>
      </c>
      <c r="F208" s="16">
        <v>15.0</v>
      </c>
      <c r="G208" s="14" t="s">
        <v>38</v>
      </c>
      <c r="H208" s="14" t="s">
        <v>30</v>
      </c>
      <c r="I208" s="16">
        <v>30.0</v>
      </c>
      <c r="J208" s="14" t="s">
        <v>30</v>
      </c>
      <c r="K208" s="16">
        <v>20.0</v>
      </c>
      <c r="L208" s="16">
        <v>7.0</v>
      </c>
      <c r="M208" s="16">
        <v>58.0</v>
      </c>
      <c r="N208" s="19">
        <f t="shared" si="1"/>
        <v>15</v>
      </c>
      <c r="O208" s="20">
        <f t="shared" si="2"/>
        <v>50</v>
      </c>
      <c r="P208" s="21" t="str">
        <f t="shared" si="3"/>
        <v>Com cupom</v>
      </c>
      <c r="Q208" s="23"/>
      <c r="R208" s="23"/>
      <c r="S208" s="23"/>
      <c r="T208" s="23"/>
    </row>
    <row r="209" ht="16.5" customHeight="1">
      <c r="A209" s="14">
        <v>3438.0</v>
      </c>
      <c r="B209" s="14" t="s">
        <v>237</v>
      </c>
      <c r="C209" s="14" t="s">
        <v>37</v>
      </c>
      <c r="D209" s="15">
        <v>45555.0</v>
      </c>
      <c r="E209" s="14" t="s">
        <v>30</v>
      </c>
      <c r="F209" s="16">
        <v>10.0</v>
      </c>
      <c r="G209" s="14" t="s">
        <v>35</v>
      </c>
      <c r="H209" s="14" t="s">
        <v>34</v>
      </c>
      <c r="I209" s="16">
        <v>0.0</v>
      </c>
      <c r="J209" s="14" t="s">
        <v>30</v>
      </c>
      <c r="K209" s="16">
        <v>20.0</v>
      </c>
      <c r="L209" s="16">
        <v>10.0</v>
      </c>
      <c r="M209" s="16">
        <v>20.0</v>
      </c>
      <c r="N209" s="19">
        <f t="shared" si="1"/>
        <v>10</v>
      </c>
      <c r="O209" s="20">
        <f t="shared" si="2"/>
        <v>20</v>
      </c>
      <c r="P209" s="21" t="str">
        <f t="shared" si="3"/>
        <v>Com cupom</v>
      </c>
      <c r="Q209" s="23"/>
      <c r="R209" s="23"/>
      <c r="S209" s="23"/>
      <c r="T209" s="23"/>
    </row>
    <row r="210" ht="16.5" customHeight="1">
      <c r="A210" s="14">
        <v>3439.0</v>
      </c>
      <c r="B210" s="14" t="s">
        <v>238</v>
      </c>
      <c r="C210" s="14" t="s">
        <v>33</v>
      </c>
      <c r="D210" s="15">
        <v>45556.0</v>
      </c>
      <c r="E210" s="14" t="s">
        <v>34</v>
      </c>
      <c r="F210" s="16">
        <v>5.0</v>
      </c>
      <c r="G210" s="14" t="s">
        <v>38</v>
      </c>
      <c r="H210" s="14" t="s">
        <v>34</v>
      </c>
      <c r="I210" s="16">
        <v>0.0</v>
      </c>
      <c r="J210" s="14" t="s">
        <v>34</v>
      </c>
      <c r="K210" s="16">
        <v>0.0</v>
      </c>
      <c r="L210" s="16">
        <v>1.0</v>
      </c>
      <c r="M210" s="16">
        <v>4.0</v>
      </c>
      <c r="N210" s="19">
        <f t="shared" si="1"/>
        <v>5</v>
      </c>
      <c r="O210" s="20">
        <f t="shared" si="2"/>
        <v>0</v>
      </c>
      <c r="P210" s="21" t="str">
        <f t="shared" si="3"/>
        <v>Com cupom</v>
      </c>
      <c r="Q210" s="23"/>
      <c r="R210" s="23"/>
      <c r="S210" s="23"/>
      <c r="T210" s="23"/>
    </row>
    <row r="211" ht="16.5" customHeight="1">
      <c r="A211" s="14">
        <v>3440.0</v>
      </c>
      <c r="B211" s="14" t="s">
        <v>239</v>
      </c>
      <c r="C211" s="14" t="s">
        <v>29</v>
      </c>
      <c r="D211" s="15">
        <v>45557.0</v>
      </c>
      <c r="E211" s="14" t="s">
        <v>30</v>
      </c>
      <c r="F211" s="16">
        <v>15.0</v>
      </c>
      <c r="G211" s="14" t="s">
        <v>31</v>
      </c>
      <c r="H211" s="14" t="s">
        <v>30</v>
      </c>
      <c r="I211" s="16">
        <v>30.0</v>
      </c>
      <c r="J211" s="14" t="s">
        <v>30</v>
      </c>
      <c r="K211" s="16">
        <v>20.0</v>
      </c>
      <c r="L211" s="16">
        <v>15.0</v>
      </c>
      <c r="M211" s="16">
        <v>50.0</v>
      </c>
      <c r="N211" s="19">
        <f t="shared" si="1"/>
        <v>15</v>
      </c>
      <c r="O211" s="20">
        <f t="shared" si="2"/>
        <v>50</v>
      </c>
      <c r="P211" s="21" t="str">
        <f t="shared" si="3"/>
        <v>Com cupom</v>
      </c>
      <c r="Q211" s="23"/>
      <c r="R211" s="23"/>
      <c r="S211" s="23"/>
      <c r="T211" s="23"/>
    </row>
    <row r="212" ht="16.5" customHeight="1">
      <c r="A212" s="14">
        <v>3441.0</v>
      </c>
      <c r="B212" s="14" t="s">
        <v>240</v>
      </c>
      <c r="C212" s="14" t="s">
        <v>37</v>
      </c>
      <c r="D212" s="15">
        <v>45558.0</v>
      </c>
      <c r="E212" s="14" t="s">
        <v>34</v>
      </c>
      <c r="F212" s="16">
        <v>10.0</v>
      </c>
      <c r="G212" s="14" t="s">
        <v>31</v>
      </c>
      <c r="H212" s="14" t="s">
        <v>34</v>
      </c>
      <c r="I212" s="16">
        <v>0.0</v>
      </c>
      <c r="J212" s="14" t="s">
        <v>30</v>
      </c>
      <c r="K212" s="16">
        <v>20.0</v>
      </c>
      <c r="L212" s="16">
        <v>5.0</v>
      </c>
      <c r="M212" s="16">
        <v>25.0</v>
      </c>
      <c r="N212" s="19">
        <f t="shared" si="1"/>
        <v>10</v>
      </c>
      <c r="O212" s="20">
        <f t="shared" si="2"/>
        <v>20</v>
      </c>
      <c r="P212" s="21" t="str">
        <f t="shared" si="3"/>
        <v>Com cupom</v>
      </c>
      <c r="Q212" s="23"/>
      <c r="R212" s="23"/>
      <c r="S212" s="23"/>
      <c r="T212" s="23"/>
    </row>
    <row r="213" ht="16.5" customHeight="1">
      <c r="A213" s="14">
        <v>3442.0</v>
      </c>
      <c r="B213" s="14" t="s">
        <v>241</v>
      </c>
      <c r="C213" s="14" t="s">
        <v>33</v>
      </c>
      <c r="D213" s="15">
        <v>45559.0</v>
      </c>
      <c r="E213" s="14" t="s">
        <v>30</v>
      </c>
      <c r="F213" s="16">
        <v>5.0</v>
      </c>
      <c r="G213" s="14" t="s">
        <v>35</v>
      </c>
      <c r="H213" s="14" t="s">
        <v>34</v>
      </c>
      <c r="I213" s="16">
        <v>0.0</v>
      </c>
      <c r="J213" s="14" t="s">
        <v>34</v>
      </c>
      <c r="K213" s="16">
        <v>0.0</v>
      </c>
      <c r="L213" s="16">
        <v>0.0</v>
      </c>
      <c r="M213" s="16">
        <v>5.0</v>
      </c>
      <c r="N213" s="19">
        <f t="shared" si="1"/>
        <v>5</v>
      </c>
      <c r="O213" s="20">
        <f t="shared" si="2"/>
        <v>0</v>
      </c>
      <c r="P213" s="21" t="str">
        <f t="shared" si="3"/>
        <v>Sem cupom</v>
      </c>
      <c r="Q213" s="23"/>
      <c r="R213" s="23"/>
      <c r="S213" s="23"/>
      <c r="T213" s="23"/>
    </row>
    <row r="214" ht="16.5" customHeight="1">
      <c r="A214" s="14">
        <v>3443.0</v>
      </c>
      <c r="B214" s="14" t="s">
        <v>242</v>
      </c>
      <c r="C214" s="14" t="s">
        <v>29</v>
      </c>
      <c r="D214" s="15">
        <v>45560.0</v>
      </c>
      <c r="E214" s="14" t="s">
        <v>34</v>
      </c>
      <c r="F214" s="16">
        <v>15.0</v>
      </c>
      <c r="G214" s="14" t="s">
        <v>38</v>
      </c>
      <c r="H214" s="14" t="s">
        <v>30</v>
      </c>
      <c r="I214" s="16">
        <v>30.0</v>
      </c>
      <c r="J214" s="14" t="s">
        <v>30</v>
      </c>
      <c r="K214" s="16">
        <v>20.0</v>
      </c>
      <c r="L214" s="16">
        <v>20.0</v>
      </c>
      <c r="M214" s="16">
        <v>45.0</v>
      </c>
      <c r="N214" s="19">
        <f t="shared" si="1"/>
        <v>15</v>
      </c>
      <c r="O214" s="20">
        <f t="shared" si="2"/>
        <v>50</v>
      </c>
      <c r="P214" s="21" t="str">
        <f t="shared" si="3"/>
        <v>Com cupom</v>
      </c>
      <c r="Q214" s="23"/>
      <c r="R214" s="23"/>
      <c r="S214" s="23"/>
      <c r="T214" s="23"/>
    </row>
    <row r="215" ht="16.5" customHeight="1">
      <c r="A215" s="14">
        <v>3444.0</v>
      </c>
      <c r="B215" s="14" t="s">
        <v>243</v>
      </c>
      <c r="C215" s="14" t="s">
        <v>37</v>
      </c>
      <c r="D215" s="15">
        <v>45561.0</v>
      </c>
      <c r="E215" s="14" t="s">
        <v>30</v>
      </c>
      <c r="F215" s="16">
        <v>10.0</v>
      </c>
      <c r="G215" s="14" t="s">
        <v>38</v>
      </c>
      <c r="H215" s="14" t="s">
        <v>34</v>
      </c>
      <c r="I215" s="16">
        <v>0.0</v>
      </c>
      <c r="J215" s="14" t="s">
        <v>30</v>
      </c>
      <c r="K215" s="16">
        <v>20.0</v>
      </c>
      <c r="L215" s="16">
        <v>12.0</v>
      </c>
      <c r="M215" s="16">
        <v>18.0</v>
      </c>
      <c r="N215" s="19">
        <f t="shared" si="1"/>
        <v>10</v>
      </c>
      <c r="O215" s="20">
        <f t="shared" si="2"/>
        <v>20</v>
      </c>
      <c r="P215" s="21" t="str">
        <f t="shared" si="3"/>
        <v>Com cupom</v>
      </c>
      <c r="Q215" s="23"/>
      <c r="R215" s="23"/>
      <c r="S215" s="23"/>
      <c r="T215" s="23"/>
    </row>
    <row r="216" ht="16.5" customHeight="1">
      <c r="A216" s="14">
        <v>3445.0</v>
      </c>
      <c r="B216" s="14" t="s">
        <v>73</v>
      </c>
      <c r="C216" s="14" t="s">
        <v>33</v>
      </c>
      <c r="D216" s="15">
        <v>45562.0</v>
      </c>
      <c r="E216" s="14" t="s">
        <v>34</v>
      </c>
      <c r="F216" s="16">
        <v>5.0</v>
      </c>
      <c r="G216" s="14" t="s">
        <v>31</v>
      </c>
      <c r="H216" s="14" t="s">
        <v>34</v>
      </c>
      <c r="I216" s="16">
        <v>0.0</v>
      </c>
      <c r="J216" s="14" t="s">
        <v>34</v>
      </c>
      <c r="K216" s="16">
        <v>0.0</v>
      </c>
      <c r="L216" s="16">
        <v>2.0</v>
      </c>
      <c r="M216" s="16">
        <v>3.0</v>
      </c>
      <c r="N216" s="19">
        <f t="shared" si="1"/>
        <v>5</v>
      </c>
      <c r="O216" s="20">
        <f t="shared" si="2"/>
        <v>0</v>
      </c>
      <c r="P216" s="21" t="str">
        <f t="shared" si="3"/>
        <v>Com cupom</v>
      </c>
      <c r="Q216" s="23"/>
      <c r="R216" s="23"/>
      <c r="S216" s="23"/>
      <c r="T216" s="23"/>
    </row>
    <row r="217" ht="16.5" customHeight="1">
      <c r="A217" s="14">
        <v>3446.0</v>
      </c>
      <c r="B217" s="14" t="s">
        <v>244</v>
      </c>
      <c r="C217" s="14" t="s">
        <v>29</v>
      </c>
      <c r="D217" s="15">
        <v>45563.0</v>
      </c>
      <c r="E217" s="14" t="s">
        <v>30</v>
      </c>
      <c r="F217" s="16">
        <v>15.0</v>
      </c>
      <c r="G217" s="14" t="s">
        <v>35</v>
      </c>
      <c r="H217" s="14" t="s">
        <v>30</v>
      </c>
      <c r="I217" s="16">
        <v>30.0</v>
      </c>
      <c r="J217" s="14" t="s">
        <v>30</v>
      </c>
      <c r="K217" s="16">
        <v>20.0</v>
      </c>
      <c r="L217" s="16">
        <v>5.0</v>
      </c>
      <c r="M217" s="16">
        <v>60.0</v>
      </c>
      <c r="N217" s="19">
        <f t="shared" si="1"/>
        <v>15</v>
      </c>
      <c r="O217" s="20">
        <f t="shared" si="2"/>
        <v>50</v>
      </c>
      <c r="P217" s="21" t="str">
        <f t="shared" si="3"/>
        <v>Com cupom</v>
      </c>
      <c r="Q217" s="23"/>
      <c r="R217" s="23"/>
      <c r="S217" s="23"/>
      <c r="T217" s="23"/>
    </row>
    <row r="218" ht="16.5" customHeight="1">
      <c r="A218" s="14">
        <v>3447.0</v>
      </c>
      <c r="B218" s="14" t="s">
        <v>245</v>
      </c>
      <c r="C218" s="14" t="s">
        <v>37</v>
      </c>
      <c r="D218" s="15">
        <v>45564.0</v>
      </c>
      <c r="E218" s="14" t="s">
        <v>34</v>
      </c>
      <c r="F218" s="16">
        <v>10.0</v>
      </c>
      <c r="G218" s="14" t="s">
        <v>31</v>
      </c>
      <c r="H218" s="14" t="s">
        <v>34</v>
      </c>
      <c r="I218" s="16">
        <v>0.0</v>
      </c>
      <c r="J218" s="14" t="s">
        <v>30</v>
      </c>
      <c r="K218" s="16">
        <v>20.0</v>
      </c>
      <c r="L218" s="16">
        <v>10.0</v>
      </c>
      <c r="M218" s="16">
        <v>20.0</v>
      </c>
      <c r="N218" s="19">
        <f t="shared" si="1"/>
        <v>10</v>
      </c>
      <c r="O218" s="20">
        <f t="shared" si="2"/>
        <v>20</v>
      </c>
      <c r="P218" s="21" t="str">
        <f t="shared" si="3"/>
        <v>Com cupom</v>
      </c>
      <c r="Q218" s="23"/>
      <c r="R218" s="23"/>
      <c r="S218" s="23"/>
      <c r="T218" s="23"/>
    </row>
    <row r="219" ht="16.5" customHeight="1">
      <c r="A219" s="14">
        <v>3448.0</v>
      </c>
      <c r="B219" s="14" t="s">
        <v>246</v>
      </c>
      <c r="C219" s="14" t="s">
        <v>33</v>
      </c>
      <c r="D219" s="15">
        <v>45565.0</v>
      </c>
      <c r="E219" s="14" t="s">
        <v>30</v>
      </c>
      <c r="F219" s="16">
        <v>5.0</v>
      </c>
      <c r="G219" s="14" t="s">
        <v>38</v>
      </c>
      <c r="H219" s="14" t="s">
        <v>34</v>
      </c>
      <c r="I219" s="16">
        <v>0.0</v>
      </c>
      <c r="J219" s="14" t="s">
        <v>34</v>
      </c>
      <c r="K219" s="16">
        <v>0.0</v>
      </c>
      <c r="L219" s="16">
        <v>0.0</v>
      </c>
      <c r="M219" s="16">
        <v>5.0</v>
      </c>
      <c r="N219" s="19">
        <f t="shared" si="1"/>
        <v>5</v>
      </c>
      <c r="O219" s="20">
        <f t="shared" si="2"/>
        <v>0</v>
      </c>
      <c r="P219" s="21" t="str">
        <f t="shared" si="3"/>
        <v>Sem cupom</v>
      </c>
      <c r="Q219" s="23"/>
      <c r="R219" s="23"/>
      <c r="S219" s="23"/>
      <c r="T219" s="23"/>
    </row>
    <row r="220" ht="16.5" customHeight="1">
      <c r="A220" s="14">
        <v>3449.0</v>
      </c>
      <c r="B220" s="14" t="s">
        <v>247</v>
      </c>
      <c r="C220" s="14" t="s">
        <v>29</v>
      </c>
      <c r="D220" s="15">
        <v>45566.0</v>
      </c>
      <c r="E220" s="14" t="s">
        <v>34</v>
      </c>
      <c r="F220" s="16">
        <v>15.0</v>
      </c>
      <c r="G220" s="14" t="s">
        <v>31</v>
      </c>
      <c r="H220" s="14" t="s">
        <v>30</v>
      </c>
      <c r="I220" s="16">
        <v>30.0</v>
      </c>
      <c r="J220" s="14" t="s">
        <v>30</v>
      </c>
      <c r="K220" s="16">
        <v>20.0</v>
      </c>
      <c r="L220" s="16">
        <v>3.0</v>
      </c>
      <c r="M220" s="16">
        <v>62.0</v>
      </c>
      <c r="N220" s="19">
        <f t="shared" si="1"/>
        <v>15</v>
      </c>
      <c r="O220" s="20">
        <f t="shared" si="2"/>
        <v>50</v>
      </c>
      <c r="P220" s="21" t="str">
        <f t="shared" si="3"/>
        <v>Com cupom</v>
      </c>
      <c r="Q220" s="23"/>
      <c r="R220" s="23"/>
      <c r="S220" s="23"/>
      <c r="T220" s="23"/>
    </row>
    <row r="221" ht="16.5" customHeight="1">
      <c r="A221" s="14">
        <v>3450.0</v>
      </c>
      <c r="B221" s="14" t="s">
        <v>248</v>
      </c>
      <c r="C221" s="14" t="s">
        <v>37</v>
      </c>
      <c r="D221" s="15">
        <v>45567.0</v>
      </c>
      <c r="E221" s="14" t="s">
        <v>30</v>
      </c>
      <c r="F221" s="16">
        <v>10.0</v>
      </c>
      <c r="G221" s="14" t="s">
        <v>35</v>
      </c>
      <c r="H221" s="14" t="s">
        <v>34</v>
      </c>
      <c r="I221" s="16">
        <v>0.0</v>
      </c>
      <c r="J221" s="14" t="s">
        <v>30</v>
      </c>
      <c r="K221" s="16">
        <v>20.0</v>
      </c>
      <c r="L221" s="16">
        <v>15.0</v>
      </c>
      <c r="M221" s="16">
        <v>15.0</v>
      </c>
      <c r="N221" s="19">
        <f t="shared" si="1"/>
        <v>10</v>
      </c>
      <c r="O221" s="20">
        <f t="shared" si="2"/>
        <v>20</v>
      </c>
      <c r="P221" s="21" t="str">
        <f t="shared" si="3"/>
        <v>Com cupom</v>
      </c>
      <c r="Q221" s="23"/>
      <c r="R221" s="23"/>
      <c r="S221" s="23"/>
      <c r="T221" s="23"/>
    </row>
    <row r="222" ht="16.5" customHeight="1">
      <c r="A222" s="14">
        <v>3451.0</v>
      </c>
      <c r="B222" s="14" t="s">
        <v>249</v>
      </c>
      <c r="C222" s="14" t="s">
        <v>33</v>
      </c>
      <c r="D222" s="15">
        <v>45568.0</v>
      </c>
      <c r="E222" s="14" t="s">
        <v>34</v>
      </c>
      <c r="F222" s="16">
        <v>5.0</v>
      </c>
      <c r="G222" s="14" t="s">
        <v>31</v>
      </c>
      <c r="H222" s="14" t="s">
        <v>34</v>
      </c>
      <c r="I222" s="16">
        <v>0.0</v>
      </c>
      <c r="J222" s="14" t="s">
        <v>34</v>
      </c>
      <c r="K222" s="16">
        <v>0.0</v>
      </c>
      <c r="L222" s="16">
        <v>1.0</v>
      </c>
      <c r="M222" s="16">
        <v>4.0</v>
      </c>
      <c r="N222" s="19">
        <f t="shared" si="1"/>
        <v>5</v>
      </c>
      <c r="O222" s="20">
        <f t="shared" si="2"/>
        <v>0</v>
      </c>
      <c r="P222" s="21" t="str">
        <f t="shared" si="3"/>
        <v>Com cupom</v>
      </c>
      <c r="Q222" s="23"/>
      <c r="R222" s="23"/>
      <c r="S222" s="23"/>
      <c r="T222" s="23"/>
    </row>
    <row r="223" ht="16.5" customHeight="1">
      <c r="A223" s="14">
        <v>3452.0</v>
      </c>
      <c r="B223" s="14" t="s">
        <v>227</v>
      </c>
      <c r="C223" s="14" t="s">
        <v>29</v>
      </c>
      <c r="D223" s="15">
        <v>45569.0</v>
      </c>
      <c r="E223" s="14" t="s">
        <v>30</v>
      </c>
      <c r="F223" s="16">
        <v>15.0</v>
      </c>
      <c r="G223" s="14" t="s">
        <v>38</v>
      </c>
      <c r="H223" s="14" t="s">
        <v>30</v>
      </c>
      <c r="I223" s="16">
        <v>30.0</v>
      </c>
      <c r="J223" s="14" t="s">
        <v>30</v>
      </c>
      <c r="K223" s="16">
        <v>20.0</v>
      </c>
      <c r="L223" s="16">
        <v>7.0</v>
      </c>
      <c r="M223" s="16">
        <v>58.0</v>
      </c>
      <c r="N223" s="19">
        <f t="shared" si="1"/>
        <v>15</v>
      </c>
      <c r="O223" s="20">
        <f t="shared" si="2"/>
        <v>50</v>
      </c>
      <c r="P223" s="21" t="str">
        <f t="shared" si="3"/>
        <v>Com cupom</v>
      </c>
      <c r="Q223" s="23"/>
      <c r="R223" s="23"/>
      <c r="S223" s="23"/>
      <c r="T223" s="23"/>
    </row>
    <row r="224" ht="16.5" customHeight="1">
      <c r="A224" s="14">
        <v>3453.0</v>
      </c>
      <c r="B224" s="14" t="s">
        <v>81</v>
      </c>
      <c r="C224" s="14" t="s">
        <v>37</v>
      </c>
      <c r="D224" s="15">
        <v>45570.0</v>
      </c>
      <c r="E224" s="14" t="s">
        <v>34</v>
      </c>
      <c r="F224" s="16">
        <v>10.0</v>
      </c>
      <c r="G224" s="14" t="s">
        <v>31</v>
      </c>
      <c r="H224" s="14" t="s">
        <v>34</v>
      </c>
      <c r="I224" s="16">
        <v>0.0</v>
      </c>
      <c r="J224" s="14" t="s">
        <v>30</v>
      </c>
      <c r="K224" s="16">
        <v>20.0</v>
      </c>
      <c r="L224" s="16">
        <v>10.0</v>
      </c>
      <c r="M224" s="16">
        <v>20.0</v>
      </c>
      <c r="N224" s="19">
        <f t="shared" si="1"/>
        <v>10</v>
      </c>
      <c r="O224" s="20">
        <f t="shared" si="2"/>
        <v>20</v>
      </c>
      <c r="P224" s="21" t="str">
        <f t="shared" si="3"/>
        <v>Com cupom</v>
      </c>
      <c r="Q224" s="23"/>
      <c r="R224" s="23"/>
      <c r="S224" s="23"/>
      <c r="T224" s="23"/>
    </row>
    <row r="225" ht="16.5" customHeight="1">
      <c r="A225" s="14">
        <v>3454.0</v>
      </c>
      <c r="B225" s="14" t="s">
        <v>250</v>
      </c>
      <c r="C225" s="14" t="s">
        <v>33</v>
      </c>
      <c r="D225" s="15">
        <v>45571.0</v>
      </c>
      <c r="E225" s="14" t="s">
        <v>30</v>
      </c>
      <c r="F225" s="16">
        <v>5.0</v>
      </c>
      <c r="G225" s="14" t="s">
        <v>35</v>
      </c>
      <c r="H225" s="14" t="s">
        <v>34</v>
      </c>
      <c r="I225" s="16">
        <v>0.0</v>
      </c>
      <c r="J225" s="14" t="s">
        <v>34</v>
      </c>
      <c r="K225" s="16">
        <v>0.0</v>
      </c>
      <c r="L225" s="16">
        <v>0.0</v>
      </c>
      <c r="M225" s="16">
        <v>5.0</v>
      </c>
      <c r="N225" s="19">
        <f t="shared" si="1"/>
        <v>5</v>
      </c>
      <c r="O225" s="20">
        <f t="shared" si="2"/>
        <v>0</v>
      </c>
      <c r="P225" s="21" t="str">
        <f t="shared" si="3"/>
        <v>Sem cupom</v>
      </c>
      <c r="Q225" s="23"/>
      <c r="R225" s="23"/>
      <c r="S225" s="23"/>
      <c r="T225" s="23"/>
    </row>
    <row r="226" ht="16.5" customHeight="1">
      <c r="A226" s="14">
        <v>3455.0</v>
      </c>
      <c r="B226" s="14" t="s">
        <v>251</v>
      </c>
      <c r="C226" s="14" t="s">
        <v>29</v>
      </c>
      <c r="D226" s="15">
        <v>45572.0</v>
      </c>
      <c r="E226" s="14" t="s">
        <v>34</v>
      </c>
      <c r="F226" s="16">
        <v>15.0</v>
      </c>
      <c r="G226" s="14" t="s">
        <v>31</v>
      </c>
      <c r="H226" s="14" t="s">
        <v>30</v>
      </c>
      <c r="I226" s="16">
        <v>30.0</v>
      </c>
      <c r="J226" s="14" t="s">
        <v>30</v>
      </c>
      <c r="K226" s="16">
        <v>20.0</v>
      </c>
      <c r="L226" s="16">
        <v>20.0</v>
      </c>
      <c r="M226" s="16">
        <v>45.0</v>
      </c>
      <c r="N226" s="19">
        <f t="shared" si="1"/>
        <v>15</v>
      </c>
      <c r="O226" s="20">
        <f t="shared" si="2"/>
        <v>50</v>
      </c>
      <c r="P226" s="21" t="str">
        <f t="shared" si="3"/>
        <v>Com cupom</v>
      </c>
      <c r="Q226" s="23"/>
      <c r="R226" s="23"/>
      <c r="S226" s="23"/>
      <c r="T226" s="23"/>
    </row>
    <row r="227" ht="16.5" customHeight="1">
      <c r="A227" s="14">
        <v>3456.0</v>
      </c>
      <c r="B227" s="14" t="s">
        <v>252</v>
      </c>
      <c r="C227" s="14" t="s">
        <v>37</v>
      </c>
      <c r="D227" s="15">
        <v>45573.0</v>
      </c>
      <c r="E227" s="14" t="s">
        <v>30</v>
      </c>
      <c r="F227" s="16">
        <v>10.0</v>
      </c>
      <c r="G227" s="14" t="s">
        <v>38</v>
      </c>
      <c r="H227" s="14" t="s">
        <v>34</v>
      </c>
      <c r="I227" s="16">
        <v>0.0</v>
      </c>
      <c r="J227" s="14" t="s">
        <v>30</v>
      </c>
      <c r="K227" s="16">
        <v>20.0</v>
      </c>
      <c r="L227" s="16">
        <v>15.0</v>
      </c>
      <c r="M227" s="16">
        <v>15.0</v>
      </c>
      <c r="N227" s="19">
        <f t="shared" si="1"/>
        <v>10</v>
      </c>
      <c r="O227" s="20">
        <f t="shared" si="2"/>
        <v>20</v>
      </c>
      <c r="P227" s="21" t="str">
        <f t="shared" si="3"/>
        <v>Com cupom</v>
      </c>
      <c r="Q227" s="23"/>
      <c r="R227" s="23"/>
      <c r="S227" s="23"/>
      <c r="T227" s="23"/>
    </row>
    <row r="228" ht="16.5" customHeight="1">
      <c r="A228" s="14">
        <v>3457.0</v>
      </c>
      <c r="B228" s="14" t="s">
        <v>253</v>
      </c>
      <c r="C228" s="14" t="s">
        <v>33</v>
      </c>
      <c r="D228" s="15">
        <v>45574.0</v>
      </c>
      <c r="E228" s="14" t="s">
        <v>34</v>
      </c>
      <c r="F228" s="16">
        <v>5.0</v>
      </c>
      <c r="G228" s="14" t="s">
        <v>31</v>
      </c>
      <c r="H228" s="14" t="s">
        <v>34</v>
      </c>
      <c r="I228" s="16">
        <v>0.0</v>
      </c>
      <c r="J228" s="14" t="s">
        <v>34</v>
      </c>
      <c r="K228" s="16">
        <v>0.0</v>
      </c>
      <c r="L228" s="16">
        <v>1.0</v>
      </c>
      <c r="M228" s="16">
        <v>4.0</v>
      </c>
      <c r="N228" s="19">
        <f t="shared" si="1"/>
        <v>5</v>
      </c>
      <c r="O228" s="20">
        <f t="shared" si="2"/>
        <v>0</v>
      </c>
      <c r="P228" s="21" t="str">
        <f t="shared" si="3"/>
        <v>Com cupom</v>
      </c>
      <c r="Q228" s="23"/>
      <c r="R228" s="23"/>
      <c r="S228" s="23"/>
      <c r="T228" s="23"/>
    </row>
    <row r="229" ht="16.5" customHeight="1">
      <c r="A229" s="14">
        <v>3458.0</v>
      </c>
      <c r="B229" s="14" t="s">
        <v>254</v>
      </c>
      <c r="C229" s="14" t="s">
        <v>29</v>
      </c>
      <c r="D229" s="15">
        <v>45575.0</v>
      </c>
      <c r="E229" s="14" t="s">
        <v>30</v>
      </c>
      <c r="F229" s="16">
        <v>15.0</v>
      </c>
      <c r="G229" s="14" t="s">
        <v>35</v>
      </c>
      <c r="H229" s="14" t="s">
        <v>30</v>
      </c>
      <c r="I229" s="16">
        <v>30.0</v>
      </c>
      <c r="J229" s="14" t="s">
        <v>30</v>
      </c>
      <c r="K229" s="16">
        <v>20.0</v>
      </c>
      <c r="L229" s="16">
        <v>3.0</v>
      </c>
      <c r="M229" s="16">
        <v>62.0</v>
      </c>
      <c r="N229" s="19">
        <f t="shared" si="1"/>
        <v>15</v>
      </c>
      <c r="O229" s="20">
        <f t="shared" si="2"/>
        <v>50</v>
      </c>
      <c r="P229" s="21" t="str">
        <f t="shared" si="3"/>
        <v>Com cupom</v>
      </c>
      <c r="Q229" s="23"/>
      <c r="R229" s="23"/>
      <c r="S229" s="23"/>
      <c r="T229" s="23"/>
    </row>
    <row r="230" ht="16.5" customHeight="1">
      <c r="A230" s="14">
        <v>3459.0</v>
      </c>
      <c r="B230" s="14" t="s">
        <v>255</v>
      </c>
      <c r="C230" s="14" t="s">
        <v>37</v>
      </c>
      <c r="D230" s="15">
        <v>45576.0</v>
      </c>
      <c r="E230" s="14" t="s">
        <v>34</v>
      </c>
      <c r="F230" s="16">
        <v>10.0</v>
      </c>
      <c r="G230" s="14" t="s">
        <v>31</v>
      </c>
      <c r="H230" s="14" t="s">
        <v>34</v>
      </c>
      <c r="I230" s="16">
        <v>0.0</v>
      </c>
      <c r="J230" s="14" t="s">
        <v>30</v>
      </c>
      <c r="K230" s="16">
        <v>20.0</v>
      </c>
      <c r="L230" s="16">
        <v>10.0</v>
      </c>
      <c r="M230" s="16">
        <v>20.0</v>
      </c>
      <c r="N230" s="19">
        <f t="shared" si="1"/>
        <v>10</v>
      </c>
      <c r="O230" s="20">
        <f t="shared" si="2"/>
        <v>20</v>
      </c>
      <c r="P230" s="21" t="str">
        <f t="shared" si="3"/>
        <v>Com cupom</v>
      </c>
      <c r="Q230" s="23"/>
      <c r="R230" s="23"/>
      <c r="S230" s="23"/>
      <c r="T230" s="23"/>
    </row>
    <row r="231" ht="16.5" customHeight="1">
      <c r="A231" s="14">
        <v>3460.0</v>
      </c>
      <c r="B231" s="14" t="s">
        <v>163</v>
      </c>
      <c r="C231" s="14" t="s">
        <v>33</v>
      </c>
      <c r="D231" s="15">
        <v>45577.0</v>
      </c>
      <c r="E231" s="14" t="s">
        <v>30</v>
      </c>
      <c r="F231" s="16">
        <v>5.0</v>
      </c>
      <c r="G231" s="14" t="s">
        <v>38</v>
      </c>
      <c r="H231" s="14" t="s">
        <v>34</v>
      </c>
      <c r="I231" s="16">
        <v>0.0</v>
      </c>
      <c r="J231" s="14" t="s">
        <v>34</v>
      </c>
      <c r="K231" s="16">
        <v>0.0</v>
      </c>
      <c r="L231" s="16">
        <v>0.0</v>
      </c>
      <c r="M231" s="16">
        <v>5.0</v>
      </c>
      <c r="N231" s="19">
        <f t="shared" si="1"/>
        <v>5</v>
      </c>
      <c r="O231" s="20">
        <f t="shared" si="2"/>
        <v>0</v>
      </c>
      <c r="P231" s="21" t="str">
        <f t="shared" si="3"/>
        <v>Sem cupom</v>
      </c>
      <c r="Q231" s="23"/>
      <c r="R231" s="23"/>
      <c r="S231" s="23"/>
      <c r="T231" s="23"/>
    </row>
    <row r="232" ht="16.5" customHeight="1">
      <c r="A232" s="14">
        <v>3461.0</v>
      </c>
      <c r="B232" s="14" t="s">
        <v>256</v>
      </c>
      <c r="C232" s="14" t="s">
        <v>29</v>
      </c>
      <c r="D232" s="15">
        <v>45578.0</v>
      </c>
      <c r="E232" s="14" t="s">
        <v>34</v>
      </c>
      <c r="F232" s="16">
        <v>15.0</v>
      </c>
      <c r="G232" s="14" t="s">
        <v>31</v>
      </c>
      <c r="H232" s="14" t="s">
        <v>30</v>
      </c>
      <c r="I232" s="16">
        <v>30.0</v>
      </c>
      <c r="J232" s="14" t="s">
        <v>30</v>
      </c>
      <c r="K232" s="16">
        <v>20.0</v>
      </c>
      <c r="L232" s="16">
        <v>15.0</v>
      </c>
      <c r="M232" s="16">
        <v>50.0</v>
      </c>
      <c r="N232" s="19">
        <f t="shared" si="1"/>
        <v>15</v>
      </c>
      <c r="O232" s="20">
        <f t="shared" si="2"/>
        <v>50</v>
      </c>
      <c r="P232" s="21" t="str">
        <f t="shared" si="3"/>
        <v>Com cupom</v>
      </c>
      <c r="Q232" s="23"/>
      <c r="R232" s="23"/>
      <c r="S232" s="23"/>
      <c r="T232" s="23"/>
    </row>
    <row r="233" ht="16.5" customHeight="1">
      <c r="A233" s="14">
        <v>3462.0</v>
      </c>
      <c r="B233" s="14" t="s">
        <v>257</v>
      </c>
      <c r="C233" s="14" t="s">
        <v>37</v>
      </c>
      <c r="D233" s="15">
        <v>45579.0</v>
      </c>
      <c r="E233" s="14" t="s">
        <v>30</v>
      </c>
      <c r="F233" s="16">
        <v>10.0</v>
      </c>
      <c r="G233" s="14" t="s">
        <v>35</v>
      </c>
      <c r="H233" s="14" t="s">
        <v>34</v>
      </c>
      <c r="I233" s="16">
        <v>0.0</v>
      </c>
      <c r="J233" s="14" t="s">
        <v>30</v>
      </c>
      <c r="K233" s="16">
        <v>20.0</v>
      </c>
      <c r="L233" s="16">
        <v>15.0</v>
      </c>
      <c r="M233" s="16">
        <v>15.0</v>
      </c>
      <c r="N233" s="19">
        <f t="shared" si="1"/>
        <v>10</v>
      </c>
      <c r="O233" s="20">
        <f t="shared" si="2"/>
        <v>20</v>
      </c>
      <c r="P233" s="21" t="str">
        <f t="shared" si="3"/>
        <v>Com cupom</v>
      </c>
      <c r="Q233" s="23"/>
      <c r="R233" s="23"/>
      <c r="S233" s="23"/>
      <c r="T233" s="23"/>
    </row>
    <row r="234" ht="16.5" customHeight="1">
      <c r="A234" s="14">
        <v>3463.0</v>
      </c>
      <c r="B234" s="14" t="s">
        <v>258</v>
      </c>
      <c r="C234" s="14" t="s">
        <v>33</v>
      </c>
      <c r="D234" s="15">
        <v>45580.0</v>
      </c>
      <c r="E234" s="14" t="s">
        <v>34</v>
      </c>
      <c r="F234" s="16">
        <v>5.0</v>
      </c>
      <c r="G234" s="14" t="s">
        <v>31</v>
      </c>
      <c r="H234" s="14" t="s">
        <v>34</v>
      </c>
      <c r="I234" s="16">
        <v>0.0</v>
      </c>
      <c r="J234" s="14" t="s">
        <v>34</v>
      </c>
      <c r="K234" s="16">
        <v>0.0</v>
      </c>
      <c r="L234" s="16">
        <v>1.0</v>
      </c>
      <c r="M234" s="16">
        <v>4.0</v>
      </c>
      <c r="N234" s="19">
        <f t="shared" si="1"/>
        <v>5</v>
      </c>
      <c r="O234" s="20">
        <f t="shared" si="2"/>
        <v>0</v>
      </c>
      <c r="P234" s="21" t="str">
        <f t="shared" si="3"/>
        <v>Com cupom</v>
      </c>
      <c r="Q234" s="23"/>
      <c r="R234" s="23"/>
      <c r="S234" s="23"/>
      <c r="T234" s="23"/>
    </row>
    <row r="235" ht="16.5" customHeight="1">
      <c r="A235" s="14">
        <v>3464.0</v>
      </c>
      <c r="B235" s="14" t="s">
        <v>259</v>
      </c>
      <c r="C235" s="14" t="s">
        <v>29</v>
      </c>
      <c r="D235" s="15">
        <v>45581.0</v>
      </c>
      <c r="E235" s="14" t="s">
        <v>30</v>
      </c>
      <c r="F235" s="16">
        <v>15.0</v>
      </c>
      <c r="G235" s="14" t="s">
        <v>38</v>
      </c>
      <c r="H235" s="14" t="s">
        <v>30</v>
      </c>
      <c r="I235" s="16">
        <v>30.0</v>
      </c>
      <c r="J235" s="14" t="s">
        <v>30</v>
      </c>
      <c r="K235" s="16">
        <v>20.0</v>
      </c>
      <c r="L235" s="16">
        <v>7.0</v>
      </c>
      <c r="M235" s="16">
        <v>58.0</v>
      </c>
      <c r="N235" s="19">
        <f t="shared" si="1"/>
        <v>15</v>
      </c>
      <c r="O235" s="20">
        <f t="shared" si="2"/>
        <v>50</v>
      </c>
      <c r="P235" s="21" t="str">
        <f t="shared" si="3"/>
        <v>Com cupom</v>
      </c>
      <c r="Q235" s="23"/>
      <c r="R235" s="23"/>
      <c r="S235" s="23"/>
      <c r="T235" s="23"/>
    </row>
    <row r="236" ht="16.5" customHeight="1">
      <c r="A236" s="14">
        <v>3465.0</v>
      </c>
      <c r="B236" s="14" t="s">
        <v>260</v>
      </c>
      <c r="C236" s="14" t="s">
        <v>37</v>
      </c>
      <c r="D236" s="15">
        <v>45582.0</v>
      </c>
      <c r="E236" s="14" t="s">
        <v>34</v>
      </c>
      <c r="F236" s="16">
        <v>10.0</v>
      </c>
      <c r="G236" s="14" t="s">
        <v>31</v>
      </c>
      <c r="H236" s="14" t="s">
        <v>34</v>
      </c>
      <c r="I236" s="16">
        <v>0.0</v>
      </c>
      <c r="J236" s="14" t="s">
        <v>30</v>
      </c>
      <c r="K236" s="16">
        <v>20.0</v>
      </c>
      <c r="L236" s="16">
        <v>10.0</v>
      </c>
      <c r="M236" s="16">
        <v>20.0</v>
      </c>
      <c r="N236" s="19">
        <f t="shared" si="1"/>
        <v>10</v>
      </c>
      <c r="O236" s="20">
        <f t="shared" si="2"/>
        <v>20</v>
      </c>
      <c r="P236" s="21" t="str">
        <f t="shared" si="3"/>
        <v>Com cupom</v>
      </c>
      <c r="Q236" s="23"/>
      <c r="R236" s="23"/>
      <c r="S236" s="23"/>
      <c r="T236" s="23"/>
    </row>
    <row r="237" ht="16.5" customHeight="1">
      <c r="A237" s="14">
        <v>3466.0</v>
      </c>
      <c r="B237" s="14" t="s">
        <v>261</v>
      </c>
      <c r="C237" s="14" t="s">
        <v>33</v>
      </c>
      <c r="D237" s="15">
        <v>45583.0</v>
      </c>
      <c r="E237" s="14" t="s">
        <v>30</v>
      </c>
      <c r="F237" s="16">
        <v>5.0</v>
      </c>
      <c r="G237" s="14" t="s">
        <v>35</v>
      </c>
      <c r="H237" s="14" t="s">
        <v>34</v>
      </c>
      <c r="I237" s="16">
        <v>0.0</v>
      </c>
      <c r="J237" s="14" t="s">
        <v>34</v>
      </c>
      <c r="K237" s="16">
        <v>0.0</v>
      </c>
      <c r="L237" s="16">
        <v>0.0</v>
      </c>
      <c r="M237" s="16">
        <v>5.0</v>
      </c>
      <c r="N237" s="19">
        <f t="shared" si="1"/>
        <v>5</v>
      </c>
      <c r="O237" s="20">
        <f t="shared" si="2"/>
        <v>0</v>
      </c>
      <c r="P237" s="21" t="str">
        <f t="shared" si="3"/>
        <v>Sem cupom</v>
      </c>
      <c r="Q237" s="23"/>
      <c r="R237" s="23"/>
      <c r="S237" s="23"/>
      <c r="T237" s="23"/>
    </row>
    <row r="238" ht="16.5" customHeight="1">
      <c r="A238" s="14">
        <v>3467.0</v>
      </c>
      <c r="B238" s="14" t="s">
        <v>262</v>
      </c>
      <c r="C238" s="14" t="s">
        <v>29</v>
      </c>
      <c r="D238" s="15">
        <v>45584.0</v>
      </c>
      <c r="E238" s="14" t="s">
        <v>34</v>
      </c>
      <c r="F238" s="16">
        <v>15.0</v>
      </c>
      <c r="G238" s="14" t="s">
        <v>31</v>
      </c>
      <c r="H238" s="14" t="s">
        <v>30</v>
      </c>
      <c r="I238" s="16">
        <v>30.0</v>
      </c>
      <c r="J238" s="14" t="s">
        <v>30</v>
      </c>
      <c r="K238" s="16">
        <v>20.0</v>
      </c>
      <c r="L238" s="16">
        <v>15.0</v>
      </c>
      <c r="M238" s="16">
        <v>50.0</v>
      </c>
      <c r="N238" s="19">
        <f t="shared" si="1"/>
        <v>15</v>
      </c>
      <c r="O238" s="20">
        <f t="shared" si="2"/>
        <v>50</v>
      </c>
      <c r="P238" s="21" t="str">
        <f t="shared" si="3"/>
        <v>Com cupom</v>
      </c>
      <c r="Q238" s="23"/>
      <c r="R238" s="23"/>
      <c r="S238" s="23"/>
      <c r="T238" s="23"/>
    </row>
    <row r="239" ht="16.5" customHeight="1">
      <c r="A239" s="14">
        <v>3468.0</v>
      </c>
      <c r="B239" s="14" t="s">
        <v>263</v>
      </c>
      <c r="C239" s="14" t="s">
        <v>37</v>
      </c>
      <c r="D239" s="15">
        <v>45585.0</v>
      </c>
      <c r="E239" s="14" t="s">
        <v>30</v>
      </c>
      <c r="F239" s="16">
        <v>10.0</v>
      </c>
      <c r="G239" s="14" t="s">
        <v>38</v>
      </c>
      <c r="H239" s="14" t="s">
        <v>34</v>
      </c>
      <c r="I239" s="16">
        <v>0.0</v>
      </c>
      <c r="J239" s="14" t="s">
        <v>30</v>
      </c>
      <c r="K239" s="16">
        <v>20.0</v>
      </c>
      <c r="L239" s="16">
        <v>12.0</v>
      </c>
      <c r="M239" s="16">
        <v>18.0</v>
      </c>
      <c r="N239" s="19">
        <f t="shared" si="1"/>
        <v>10</v>
      </c>
      <c r="O239" s="20">
        <f t="shared" si="2"/>
        <v>20</v>
      </c>
      <c r="P239" s="21" t="str">
        <f t="shared" si="3"/>
        <v>Com cupom</v>
      </c>
      <c r="Q239" s="23"/>
      <c r="R239" s="23"/>
      <c r="S239" s="23"/>
      <c r="T239" s="23"/>
    </row>
    <row r="240" ht="16.5" customHeight="1">
      <c r="A240" s="14">
        <v>3469.0</v>
      </c>
      <c r="B240" s="14" t="s">
        <v>264</v>
      </c>
      <c r="C240" s="14" t="s">
        <v>33</v>
      </c>
      <c r="D240" s="15">
        <v>45586.0</v>
      </c>
      <c r="E240" s="14" t="s">
        <v>34</v>
      </c>
      <c r="F240" s="16">
        <v>5.0</v>
      </c>
      <c r="G240" s="14" t="s">
        <v>31</v>
      </c>
      <c r="H240" s="14" t="s">
        <v>34</v>
      </c>
      <c r="I240" s="16">
        <v>0.0</v>
      </c>
      <c r="J240" s="14" t="s">
        <v>34</v>
      </c>
      <c r="K240" s="16">
        <v>0.0</v>
      </c>
      <c r="L240" s="16">
        <v>2.0</v>
      </c>
      <c r="M240" s="16">
        <v>3.0</v>
      </c>
      <c r="N240" s="19">
        <f t="shared" si="1"/>
        <v>5</v>
      </c>
      <c r="O240" s="20">
        <f t="shared" si="2"/>
        <v>0</v>
      </c>
      <c r="P240" s="21" t="str">
        <f t="shared" si="3"/>
        <v>Com cupom</v>
      </c>
      <c r="Q240" s="23"/>
      <c r="R240" s="23"/>
      <c r="S240" s="23"/>
      <c r="T240" s="23"/>
    </row>
    <row r="241" ht="16.5" customHeight="1">
      <c r="A241" s="14">
        <v>3470.0</v>
      </c>
      <c r="B241" s="14" t="s">
        <v>265</v>
      </c>
      <c r="C241" s="14" t="s">
        <v>29</v>
      </c>
      <c r="D241" s="15">
        <v>45587.0</v>
      </c>
      <c r="E241" s="14" t="s">
        <v>30</v>
      </c>
      <c r="F241" s="16">
        <v>15.0</v>
      </c>
      <c r="G241" s="14" t="s">
        <v>35</v>
      </c>
      <c r="H241" s="14" t="s">
        <v>30</v>
      </c>
      <c r="I241" s="16">
        <v>30.0</v>
      </c>
      <c r="J241" s="14" t="s">
        <v>30</v>
      </c>
      <c r="K241" s="16">
        <v>20.0</v>
      </c>
      <c r="L241" s="16">
        <v>5.0</v>
      </c>
      <c r="M241" s="16">
        <v>60.0</v>
      </c>
      <c r="N241" s="19">
        <f t="shared" si="1"/>
        <v>15</v>
      </c>
      <c r="O241" s="20">
        <f t="shared" si="2"/>
        <v>50</v>
      </c>
      <c r="P241" s="21" t="str">
        <f t="shared" si="3"/>
        <v>Com cupom</v>
      </c>
      <c r="Q241" s="23"/>
      <c r="R241" s="23"/>
      <c r="S241" s="23"/>
      <c r="T241" s="23"/>
    </row>
    <row r="242" ht="16.5" customHeight="1">
      <c r="A242" s="14">
        <v>3471.0</v>
      </c>
      <c r="B242" s="14" t="s">
        <v>266</v>
      </c>
      <c r="C242" s="14" t="s">
        <v>37</v>
      </c>
      <c r="D242" s="15">
        <v>45588.0</v>
      </c>
      <c r="E242" s="14" t="s">
        <v>34</v>
      </c>
      <c r="F242" s="16">
        <v>10.0</v>
      </c>
      <c r="G242" s="14" t="s">
        <v>31</v>
      </c>
      <c r="H242" s="14" t="s">
        <v>34</v>
      </c>
      <c r="I242" s="16">
        <v>0.0</v>
      </c>
      <c r="J242" s="14" t="s">
        <v>30</v>
      </c>
      <c r="K242" s="16">
        <v>20.0</v>
      </c>
      <c r="L242" s="16">
        <v>10.0</v>
      </c>
      <c r="M242" s="16">
        <v>20.0</v>
      </c>
      <c r="N242" s="19">
        <f t="shared" si="1"/>
        <v>10</v>
      </c>
      <c r="O242" s="20">
        <f t="shared" si="2"/>
        <v>20</v>
      </c>
      <c r="P242" s="21" t="str">
        <f t="shared" si="3"/>
        <v>Com cupom</v>
      </c>
      <c r="Q242" s="23"/>
      <c r="R242" s="23"/>
      <c r="S242" s="23"/>
      <c r="T242" s="23"/>
    </row>
    <row r="243" ht="16.5" customHeight="1">
      <c r="A243" s="14">
        <v>3472.0</v>
      </c>
      <c r="B243" s="14" t="s">
        <v>267</v>
      </c>
      <c r="C243" s="14" t="s">
        <v>33</v>
      </c>
      <c r="D243" s="15">
        <v>45589.0</v>
      </c>
      <c r="E243" s="14" t="s">
        <v>30</v>
      </c>
      <c r="F243" s="16">
        <v>5.0</v>
      </c>
      <c r="G243" s="14" t="s">
        <v>38</v>
      </c>
      <c r="H243" s="14" t="s">
        <v>34</v>
      </c>
      <c r="I243" s="16">
        <v>0.0</v>
      </c>
      <c r="J243" s="14" t="s">
        <v>34</v>
      </c>
      <c r="K243" s="16">
        <v>0.0</v>
      </c>
      <c r="L243" s="16">
        <v>0.0</v>
      </c>
      <c r="M243" s="16">
        <v>5.0</v>
      </c>
      <c r="N243" s="19">
        <f t="shared" si="1"/>
        <v>5</v>
      </c>
      <c r="O243" s="20">
        <f t="shared" si="2"/>
        <v>0</v>
      </c>
      <c r="P243" s="21" t="str">
        <f t="shared" si="3"/>
        <v>Sem cupom</v>
      </c>
      <c r="Q243" s="23"/>
      <c r="R243" s="23"/>
      <c r="S243" s="23"/>
      <c r="T243" s="23"/>
    </row>
    <row r="244" ht="16.5" customHeight="1">
      <c r="A244" s="14">
        <v>3473.0</v>
      </c>
      <c r="B244" s="14" t="s">
        <v>176</v>
      </c>
      <c r="C244" s="14" t="s">
        <v>29</v>
      </c>
      <c r="D244" s="15">
        <v>45590.0</v>
      </c>
      <c r="E244" s="14" t="s">
        <v>34</v>
      </c>
      <c r="F244" s="16">
        <v>15.0</v>
      </c>
      <c r="G244" s="14" t="s">
        <v>31</v>
      </c>
      <c r="H244" s="14" t="s">
        <v>30</v>
      </c>
      <c r="I244" s="16">
        <v>30.0</v>
      </c>
      <c r="J244" s="14" t="s">
        <v>30</v>
      </c>
      <c r="K244" s="16">
        <v>20.0</v>
      </c>
      <c r="L244" s="16">
        <v>3.0</v>
      </c>
      <c r="M244" s="16">
        <v>62.0</v>
      </c>
      <c r="N244" s="19">
        <f t="shared" si="1"/>
        <v>15</v>
      </c>
      <c r="O244" s="20">
        <f t="shared" si="2"/>
        <v>50</v>
      </c>
      <c r="P244" s="21" t="str">
        <f t="shared" si="3"/>
        <v>Com cupom</v>
      </c>
      <c r="Q244" s="23"/>
      <c r="R244" s="23"/>
      <c r="S244" s="23"/>
      <c r="T244" s="23"/>
    </row>
    <row r="245" ht="16.5" customHeight="1">
      <c r="A245" s="14">
        <v>3474.0</v>
      </c>
      <c r="B245" s="14" t="s">
        <v>268</v>
      </c>
      <c r="C245" s="14" t="s">
        <v>37</v>
      </c>
      <c r="D245" s="15">
        <v>45591.0</v>
      </c>
      <c r="E245" s="14" t="s">
        <v>30</v>
      </c>
      <c r="F245" s="16">
        <v>10.0</v>
      </c>
      <c r="G245" s="14" t="s">
        <v>35</v>
      </c>
      <c r="H245" s="14" t="s">
        <v>34</v>
      </c>
      <c r="I245" s="16">
        <v>0.0</v>
      </c>
      <c r="J245" s="14" t="s">
        <v>30</v>
      </c>
      <c r="K245" s="16">
        <v>20.0</v>
      </c>
      <c r="L245" s="16">
        <v>15.0</v>
      </c>
      <c r="M245" s="16">
        <v>15.0</v>
      </c>
      <c r="N245" s="19">
        <f t="shared" si="1"/>
        <v>10</v>
      </c>
      <c r="O245" s="20">
        <f t="shared" si="2"/>
        <v>20</v>
      </c>
      <c r="P245" s="21" t="str">
        <f t="shared" si="3"/>
        <v>Com cupom</v>
      </c>
      <c r="Q245" s="23"/>
      <c r="R245" s="23"/>
      <c r="S245" s="23"/>
      <c r="T245" s="23"/>
    </row>
    <row r="246" ht="16.5" customHeight="1">
      <c r="A246" s="14">
        <v>3475.0</v>
      </c>
      <c r="B246" s="14" t="s">
        <v>269</v>
      </c>
      <c r="C246" s="14" t="s">
        <v>33</v>
      </c>
      <c r="D246" s="15">
        <v>45592.0</v>
      </c>
      <c r="E246" s="14" t="s">
        <v>34</v>
      </c>
      <c r="F246" s="16">
        <v>5.0</v>
      </c>
      <c r="G246" s="14" t="s">
        <v>31</v>
      </c>
      <c r="H246" s="14" t="s">
        <v>34</v>
      </c>
      <c r="I246" s="16">
        <v>0.0</v>
      </c>
      <c r="J246" s="14" t="s">
        <v>34</v>
      </c>
      <c r="K246" s="16">
        <v>0.0</v>
      </c>
      <c r="L246" s="16">
        <v>1.0</v>
      </c>
      <c r="M246" s="16">
        <v>4.0</v>
      </c>
      <c r="N246" s="19">
        <f t="shared" si="1"/>
        <v>5</v>
      </c>
      <c r="O246" s="20">
        <f t="shared" si="2"/>
        <v>0</v>
      </c>
      <c r="P246" s="21" t="str">
        <f t="shared" si="3"/>
        <v>Com cupom</v>
      </c>
      <c r="Q246" s="23"/>
      <c r="R246" s="23"/>
      <c r="S246" s="23"/>
      <c r="T246" s="23"/>
    </row>
    <row r="247" ht="16.5" customHeight="1">
      <c r="A247" s="14">
        <v>3476.0</v>
      </c>
      <c r="B247" s="14" t="s">
        <v>270</v>
      </c>
      <c r="C247" s="14" t="s">
        <v>29</v>
      </c>
      <c r="D247" s="15">
        <v>45593.0</v>
      </c>
      <c r="E247" s="14" t="s">
        <v>30</v>
      </c>
      <c r="F247" s="16">
        <v>15.0</v>
      </c>
      <c r="G247" s="14" t="s">
        <v>38</v>
      </c>
      <c r="H247" s="14" t="s">
        <v>30</v>
      </c>
      <c r="I247" s="16">
        <v>30.0</v>
      </c>
      <c r="J247" s="14" t="s">
        <v>30</v>
      </c>
      <c r="K247" s="16">
        <v>20.0</v>
      </c>
      <c r="L247" s="16">
        <v>7.0</v>
      </c>
      <c r="M247" s="16">
        <v>58.0</v>
      </c>
      <c r="N247" s="19">
        <f t="shared" si="1"/>
        <v>15</v>
      </c>
      <c r="O247" s="20">
        <f t="shared" si="2"/>
        <v>50</v>
      </c>
      <c r="P247" s="21" t="str">
        <f t="shared" si="3"/>
        <v>Com cupom</v>
      </c>
      <c r="Q247" s="23"/>
      <c r="R247" s="23"/>
      <c r="S247" s="23"/>
      <c r="T247" s="23"/>
    </row>
    <row r="248" ht="16.5" customHeight="1">
      <c r="A248" s="14">
        <v>3477.0</v>
      </c>
      <c r="B248" s="14" t="s">
        <v>271</v>
      </c>
      <c r="C248" s="14" t="s">
        <v>37</v>
      </c>
      <c r="D248" s="15">
        <v>45594.0</v>
      </c>
      <c r="E248" s="14" t="s">
        <v>34</v>
      </c>
      <c r="F248" s="16">
        <v>10.0</v>
      </c>
      <c r="G248" s="14" t="s">
        <v>31</v>
      </c>
      <c r="H248" s="14" t="s">
        <v>34</v>
      </c>
      <c r="I248" s="16">
        <v>0.0</v>
      </c>
      <c r="J248" s="14" t="s">
        <v>30</v>
      </c>
      <c r="K248" s="16">
        <v>20.0</v>
      </c>
      <c r="L248" s="16">
        <v>10.0</v>
      </c>
      <c r="M248" s="16">
        <v>20.0</v>
      </c>
      <c r="N248" s="19">
        <f t="shared" si="1"/>
        <v>10</v>
      </c>
      <c r="O248" s="20">
        <f t="shared" si="2"/>
        <v>20</v>
      </c>
      <c r="P248" s="21" t="str">
        <f t="shared" si="3"/>
        <v>Com cupom</v>
      </c>
      <c r="Q248" s="23"/>
      <c r="R248" s="23"/>
      <c r="S248" s="23"/>
      <c r="T248" s="23"/>
    </row>
    <row r="249" ht="16.5" customHeight="1">
      <c r="A249" s="14">
        <v>3478.0</v>
      </c>
      <c r="B249" s="14" t="s">
        <v>272</v>
      </c>
      <c r="C249" s="14" t="s">
        <v>33</v>
      </c>
      <c r="D249" s="15">
        <v>45595.0</v>
      </c>
      <c r="E249" s="14" t="s">
        <v>30</v>
      </c>
      <c r="F249" s="16">
        <v>5.0</v>
      </c>
      <c r="G249" s="14" t="s">
        <v>35</v>
      </c>
      <c r="H249" s="14" t="s">
        <v>34</v>
      </c>
      <c r="I249" s="16">
        <v>0.0</v>
      </c>
      <c r="J249" s="14" t="s">
        <v>34</v>
      </c>
      <c r="K249" s="16">
        <v>0.0</v>
      </c>
      <c r="L249" s="16">
        <v>0.0</v>
      </c>
      <c r="M249" s="16">
        <v>5.0</v>
      </c>
      <c r="N249" s="19">
        <f t="shared" si="1"/>
        <v>5</v>
      </c>
      <c r="O249" s="20">
        <f t="shared" si="2"/>
        <v>0</v>
      </c>
      <c r="P249" s="21" t="str">
        <f t="shared" si="3"/>
        <v>Sem cupom</v>
      </c>
      <c r="Q249" s="23"/>
      <c r="R249" s="23"/>
      <c r="S249" s="23"/>
      <c r="T249" s="23"/>
    </row>
    <row r="250" ht="16.5" customHeight="1">
      <c r="A250" s="14">
        <v>3479.0</v>
      </c>
      <c r="B250" s="14" t="s">
        <v>273</v>
      </c>
      <c r="C250" s="14" t="s">
        <v>29</v>
      </c>
      <c r="D250" s="15">
        <v>45596.0</v>
      </c>
      <c r="E250" s="14" t="s">
        <v>34</v>
      </c>
      <c r="F250" s="16">
        <v>15.0</v>
      </c>
      <c r="G250" s="14" t="s">
        <v>31</v>
      </c>
      <c r="H250" s="14" t="s">
        <v>30</v>
      </c>
      <c r="I250" s="16">
        <v>30.0</v>
      </c>
      <c r="J250" s="14" t="s">
        <v>30</v>
      </c>
      <c r="K250" s="16">
        <v>20.0</v>
      </c>
      <c r="L250" s="16">
        <v>20.0</v>
      </c>
      <c r="M250" s="16">
        <v>45.0</v>
      </c>
      <c r="N250" s="19">
        <f t="shared" si="1"/>
        <v>15</v>
      </c>
      <c r="O250" s="20">
        <f t="shared" si="2"/>
        <v>50</v>
      </c>
      <c r="P250" s="21" t="str">
        <f t="shared" si="3"/>
        <v>Com cupom</v>
      </c>
      <c r="Q250" s="23"/>
      <c r="R250" s="23"/>
      <c r="S250" s="23"/>
      <c r="T250" s="23"/>
    </row>
    <row r="251" ht="16.5" customHeight="1">
      <c r="A251" s="14">
        <v>3480.0</v>
      </c>
      <c r="B251" s="14" t="s">
        <v>274</v>
      </c>
      <c r="C251" s="14" t="s">
        <v>37</v>
      </c>
      <c r="D251" s="15">
        <v>45597.0</v>
      </c>
      <c r="E251" s="14" t="s">
        <v>30</v>
      </c>
      <c r="F251" s="16">
        <v>10.0</v>
      </c>
      <c r="G251" s="14" t="s">
        <v>38</v>
      </c>
      <c r="H251" s="14" t="s">
        <v>34</v>
      </c>
      <c r="I251" s="16">
        <v>0.0</v>
      </c>
      <c r="J251" s="14" t="s">
        <v>30</v>
      </c>
      <c r="K251" s="16">
        <v>20.0</v>
      </c>
      <c r="L251" s="16">
        <v>15.0</v>
      </c>
      <c r="M251" s="16">
        <v>15.0</v>
      </c>
      <c r="N251" s="19">
        <f t="shared" si="1"/>
        <v>10</v>
      </c>
      <c r="O251" s="20">
        <f t="shared" si="2"/>
        <v>20</v>
      </c>
      <c r="P251" s="21" t="str">
        <f t="shared" si="3"/>
        <v>Com cupom</v>
      </c>
      <c r="Q251" s="23"/>
      <c r="R251" s="23"/>
      <c r="S251" s="23"/>
      <c r="T251" s="23"/>
    </row>
    <row r="252" ht="16.5" customHeight="1">
      <c r="A252" s="14">
        <v>3481.0</v>
      </c>
      <c r="B252" s="14" t="s">
        <v>275</v>
      </c>
      <c r="C252" s="14" t="s">
        <v>33</v>
      </c>
      <c r="D252" s="15">
        <v>45598.0</v>
      </c>
      <c r="E252" s="14" t="s">
        <v>34</v>
      </c>
      <c r="F252" s="16">
        <v>5.0</v>
      </c>
      <c r="G252" s="14" t="s">
        <v>31</v>
      </c>
      <c r="H252" s="14" t="s">
        <v>34</v>
      </c>
      <c r="I252" s="16">
        <v>0.0</v>
      </c>
      <c r="J252" s="14" t="s">
        <v>34</v>
      </c>
      <c r="K252" s="16">
        <v>0.0</v>
      </c>
      <c r="L252" s="16">
        <v>1.0</v>
      </c>
      <c r="M252" s="16">
        <v>4.0</v>
      </c>
      <c r="N252" s="19">
        <f t="shared" si="1"/>
        <v>5</v>
      </c>
      <c r="O252" s="20">
        <f t="shared" si="2"/>
        <v>0</v>
      </c>
      <c r="P252" s="21" t="str">
        <f t="shared" si="3"/>
        <v>Com cupom</v>
      </c>
      <c r="Q252" s="23"/>
      <c r="R252" s="23"/>
      <c r="S252" s="23"/>
      <c r="T252" s="23"/>
    </row>
    <row r="253" ht="16.5" customHeight="1">
      <c r="A253" s="14">
        <v>3482.0</v>
      </c>
      <c r="B253" s="14" t="s">
        <v>276</v>
      </c>
      <c r="C253" s="14" t="s">
        <v>29</v>
      </c>
      <c r="D253" s="15">
        <v>45599.0</v>
      </c>
      <c r="E253" s="14" t="s">
        <v>30</v>
      </c>
      <c r="F253" s="16">
        <v>15.0</v>
      </c>
      <c r="G253" s="14" t="s">
        <v>35</v>
      </c>
      <c r="H253" s="14" t="s">
        <v>30</v>
      </c>
      <c r="I253" s="16">
        <v>30.0</v>
      </c>
      <c r="J253" s="14" t="s">
        <v>30</v>
      </c>
      <c r="K253" s="16">
        <v>20.0</v>
      </c>
      <c r="L253" s="16">
        <v>3.0</v>
      </c>
      <c r="M253" s="16">
        <v>62.0</v>
      </c>
      <c r="N253" s="19">
        <f t="shared" si="1"/>
        <v>15</v>
      </c>
      <c r="O253" s="20">
        <f t="shared" si="2"/>
        <v>50</v>
      </c>
      <c r="P253" s="21" t="str">
        <f t="shared" si="3"/>
        <v>Com cupom</v>
      </c>
      <c r="Q253" s="23"/>
      <c r="R253" s="23"/>
      <c r="S253" s="23"/>
      <c r="T253" s="23"/>
    </row>
    <row r="254" ht="16.5" customHeight="1">
      <c r="A254" s="14">
        <v>3483.0</v>
      </c>
      <c r="B254" s="14" t="s">
        <v>277</v>
      </c>
      <c r="C254" s="14" t="s">
        <v>37</v>
      </c>
      <c r="D254" s="15">
        <v>45600.0</v>
      </c>
      <c r="E254" s="14" t="s">
        <v>34</v>
      </c>
      <c r="F254" s="16">
        <v>10.0</v>
      </c>
      <c r="G254" s="14" t="s">
        <v>31</v>
      </c>
      <c r="H254" s="14" t="s">
        <v>34</v>
      </c>
      <c r="I254" s="16">
        <v>0.0</v>
      </c>
      <c r="J254" s="14" t="s">
        <v>30</v>
      </c>
      <c r="K254" s="16">
        <v>20.0</v>
      </c>
      <c r="L254" s="16">
        <v>10.0</v>
      </c>
      <c r="M254" s="16">
        <v>20.0</v>
      </c>
      <c r="N254" s="19">
        <f t="shared" si="1"/>
        <v>10</v>
      </c>
      <c r="O254" s="20">
        <f t="shared" si="2"/>
        <v>20</v>
      </c>
      <c r="P254" s="21" t="str">
        <f t="shared" si="3"/>
        <v>Com cupom</v>
      </c>
      <c r="Q254" s="23"/>
      <c r="R254" s="23"/>
      <c r="S254" s="23"/>
      <c r="T254" s="23"/>
    </row>
    <row r="255" ht="16.5" customHeight="1">
      <c r="A255" s="14">
        <v>3484.0</v>
      </c>
      <c r="B255" s="14" t="s">
        <v>278</v>
      </c>
      <c r="C255" s="14" t="s">
        <v>33</v>
      </c>
      <c r="D255" s="15">
        <v>45601.0</v>
      </c>
      <c r="E255" s="14" t="s">
        <v>30</v>
      </c>
      <c r="F255" s="16">
        <v>5.0</v>
      </c>
      <c r="G255" s="14" t="s">
        <v>38</v>
      </c>
      <c r="H255" s="14" t="s">
        <v>34</v>
      </c>
      <c r="I255" s="16">
        <v>0.0</v>
      </c>
      <c r="J255" s="14" t="s">
        <v>34</v>
      </c>
      <c r="K255" s="16">
        <v>0.0</v>
      </c>
      <c r="L255" s="16">
        <v>0.0</v>
      </c>
      <c r="M255" s="16">
        <v>5.0</v>
      </c>
      <c r="N255" s="19">
        <f t="shared" si="1"/>
        <v>5</v>
      </c>
      <c r="O255" s="20">
        <f t="shared" si="2"/>
        <v>0</v>
      </c>
      <c r="P255" s="21" t="str">
        <f t="shared" si="3"/>
        <v>Sem cupom</v>
      </c>
      <c r="Q255" s="23"/>
      <c r="R255" s="23"/>
      <c r="S255" s="23"/>
      <c r="T255" s="23"/>
    </row>
    <row r="256" ht="16.5" customHeight="1">
      <c r="A256" s="14">
        <v>3485.0</v>
      </c>
      <c r="B256" s="14" t="s">
        <v>279</v>
      </c>
      <c r="C256" s="14" t="s">
        <v>29</v>
      </c>
      <c r="D256" s="15">
        <v>45602.0</v>
      </c>
      <c r="E256" s="14" t="s">
        <v>34</v>
      </c>
      <c r="F256" s="16">
        <v>15.0</v>
      </c>
      <c r="G256" s="14" t="s">
        <v>31</v>
      </c>
      <c r="H256" s="14" t="s">
        <v>30</v>
      </c>
      <c r="I256" s="16">
        <v>30.0</v>
      </c>
      <c r="J256" s="14" t="s">
        <v>30</v>
      </c>
      <c r="K256" s="16">
        <v>20.0</v>
      </c>
      <c r="L256" s="16">
        <v>15.0</v>
      </c>
      <c r="M256" s="16">
        <v>50.0</v>
      </c>
      <c r="N256" s="19">
        <f t="shared" si="1"/>
        <v>15</v>
      </c>
      <c r="O256" s="20">
        <f t="shared" si="2"/>
        <v>50</v>
      </c>
      <c r="P256" s="21" t="str">
        <f t="shared" si="3"/>
        <v>Com cupom</v>
      </c>
      <c r="Q256" s="23"/>
      <c r="R256" s="23"/>
      <c r="S256" s="23"/>
      <c r="T256" s="23"/>
    </row>
    <row r="257" ht="16.5" customHeight="1">
      <c r="A257" s="14">
        <v>3486.0</v>
      </c>
      <c r="B257" s="14" t="s">
        <v>280</v>
      </c>
      <c r="C257" s="14" t="s">
        <v>33</v>
      </c>
      <c r="D257" s="15">
        <v>45603.0</v>
      </c>
      <c r="E257" s="14" t="s">
        <v>30</v>
      </c>
      <c r="F257" s="16">
        <v>5.0</v>
      </c>
      <c r="G257" s="14" t="s">
        <v>31</v>
      </c>
      <c r="H257" s="14" t="s">
        <v>34</v>
      </c>
      <c r="I257" s="16">
        <v>0.0</v>
      </c>
      <c r="J257" s="14" t="s">
        <v>34</v>
      </c>
      <c r="K257" s="16">
        <v>0.0</v>
      </c>
      <c r="L257" s="16">
        <v>0.0</v>
      </c>
      <c r="M257" s="16">
        <v>5.0</v>
      </c>
      <c r="N257" s="19">
        <f t="shared" si="1"/>
        <v>5</v>
      </c>
      <c r="O257" s="20">
        <f t="shared" si="2"/>
        <v>0</v>
      </c>
      <c r="P257" s="21" t="str">
        <f t="shared" si="3"/>
        <v>Sem cupom</v>
      </c>
      <c r="Q257" s="23"/>
      <c r="R257" s="23"/>
      <c r="S257" s="23"/>
      <c r="T257" s="23"/>
    </row>
    <row r="258" ht="16.5" customHeight="1">
      <c r="A258" s="14">
        <v>3487.0</v>
      </c>
      <c r="B258" s="14" t="s">
        <v>281</v>
      </c>
      <c r="C258" s="14" t="s">
        <v>29</v>
      </c>
      <c r="D258" s="15">
        <v>45604.0</v>
      </c>
      <c r="E258" s="14" t="s">
        <v>34</v>
      </c>
      <c r="F258" s="16">
        <v>15.0</v>
      </c>
      <c r="G258" s="14" t="s">
        <v>38</v>
      </c>
      <c r="H258" s="14" t="s">
        <v>30</v>
      </c>
      <c r="I258" s="16">
        <v>30.0</v>
      </c>
      <c r="J258" s="14" t="s">
        <v>30</v>
      </c>
      <c r="K258" s="16">
        <v>20.0</v>
      </c>
      <c r="L258" s="16">
        <v>7.0</v>
      </c>
      <c r="M258" s="16">
        <v>58.0</v>
      </c>
      <c r="N258" s="19">
        <f t="shared" si="1"/>
        <v>15</v>
      </c>
      <c r="O258" s="20">
        <f t="shared" si="2"/>
        <v>50</v>
      </c>
      <c r="P258" s="21" t="str">
        <f t="shared" si="3"/>
        <v>Com cupom</v>
      </c>
      <c r="Q258" s="23"/>
      <c r="R258" s="23"/>
      <c r="S258" s="23"/>
      <c r="T258" s="23"/>
    </row>
    <row r="259" ht="16.5" customHeight="1">
      <c r="A259" s="14">
        <v>3488.0</v>
      </c>
      <c r="B259" s="14" t="s">
        <v>282</v>
      </c>
      <c r="C259" s="14" t="s">
        <v>37</v>
      </c>
      <c r="D259" s="15">
        <v>45605.0</v>
      </c>
      <c r="E259" s="14" t="s">
        <v>30</v>
      </c>
      <c r="F259" s="16">
        <v>10.0</v>
      </c>
      <c r="G259" s="14" t="s">
        <v>35</v>
      </c>
      <c r="H259" s="14" t="s">
        <v>34</v>
      </c>
      <c r="I259" s="16">
        <v>0.0</v>
      </c>
      <c r="J259" s="14" t="s">
        <v>30</v>
      </c>
      <c r="K259" s="16">
        <v>20.0</v>
      </c>
      <c r="L259" s="16">
        <v>10.0</v>
      </c>
      <c r="M259" s="16">
        <v>20.0</v>
      </c>
      <c r="N259" s="19">
        <f t="shared" si="1"/>
        <v>10</v>
      </c>
      <c r="O259" s="20">
        <f t="shared" si="2"/>
        <v>20</v>
      </c>
      <c r="P259" s="21" t="str">
        <f t="shared" si="3"/>
        <v>Com cupom</v>
      </c>
      <c r="Q259" s="23"/>
      <c r="R259" s="23"/>
      <c r="S259" s="23"/>
      <c r="T259" s="23"/>
    </row>
    <row r="260" ht="16.5" customHeight="1">
      <c r="A260" s="14">
        <v>3489.0</v>
      </c>
      <c r="B260" s="14" t="s">
        <v>283</v>
      </c>
      <c r="C260" s="14" t="s">
        <v>33</v>
      </c>
      <c r="D260" s="15">
        <v>45606.0</v>
      </c>
      <c r="E260" s="14" t="s">
        <v>34</v>
      </c>
      <c r="F260" s="16">
        <v>5.0</v>
      </c>
      <c r="G260" s="14" t="s">
        <v>38</v>
      </c>
      <c r="H260" s="14" t="s">
        <v>34</v>
      </c>
      <c r="I260" s="16">
        <v>0.0</v>
      </c>
      <c r="J260" s="14" t="s">
        <v>34</v>
      </c>
      <c r="K260" s="16">
        <v>0.0</v>
      </c>
      <c r="L260" s="16">
        <v>1.0</v>
      </c>
      <c r="M260" s="16">
        <v>4.0</v>
      </c>
      <c r="N260" s="19">
        <f t="shared" si="1"/>
        <v>5</v>
      </c>
      <c r="O260" s="20">
        <f t="shared" si="2"/>
        <v>0</v>
      </c>
      <c r="P260" s="21" t="str">
        <f t="shared" si="3"/>
        <v>Com cupom</v>
      </c>
      <c r="Q260" s="23"/>
      <c r="R260" s="23"/>
      <c r="S260" s="23"/>
      <c r="T260" s="23"/>
    </row>
    <row r="261" ht="16.5" customHeight="1">
      <c r="A261" s="14">
        <v>3490.0</v>
      </c>
      <c r="B261" s="14" t="s">
        <v>284</v>
      </c>
      <c r="C261" s="14" t="s">
        <v>29</v>
      </c>
      <c r="D261" s="15">
        <v>45607.0</v>
      </c>
      <c r="E261" s="14" t="s">
        <v>30</v>
      </c>
      <c r="F261" s="16">
        <v>15.0</v>
      </c>
      <c r="G261" s="14" t="s">
        <v>31</v>
      </c>
      <c r="H261" s="14" t="s">
        <v>30</v>
      </c>
      <c r="I261" s="16">
        <v>30.0</v>
      </c>
      <c r="J261" s="14" t="s">
        <v>30</v>
      </c>
      <c r="K261" s="16">
        <v>20.0</v>
      </c>
      <c r="L261" s="16">
        <v>15.0</v>
      </c>
      <c r="M261" s="16">
        <v>50.0</v>
      </c>
      <c r="N261" s="19">
        <f t="shared" si="1"/>
        <v>15</v>
      </c>
      <c r="O261" s="20">
        <f t="shared" si="2"/>
        <v>50</v>
      </c>
      <c r="P261" s="21" t="str">
        <f t="shared" si="3"/>
        <v>Com cupom</v>
      </c>
      <c r="Q261" s="23"/>
      <c r="R261" s="23"/>
      <c r="S261" s="23"/>
      <c r="T261" s="23"/>
    </row>
    <row r="262" ht="16.5" customHeight="1">
      <c r="A262" s="14">
        <v>3491.0</v>
      </c>
      <c r="B262" s="14" t="s">
        <v>285</v>
      </c>
      <c r="C262" s="14" t="s">
        <v>37</v>
      </c>
      <c r="D262" s="15">
        <v>45608.0</v>
      </c>
      <c r="E262" s="14" t="s">
        <v>34</v>
      </c>
      <c r="F262" s="16">
        <v>10.0</v>
      </c>
      <c r="G262" s="14" t="s">
        <v>31</v>
      </c>
      <c r="H262" s="14" t="s">
        <v>34</v>
      </c>
      <c r="I262" s="16">
        <v>0.0</v>
      </c>
      <c r="J262" s="14" t="s">
        <v>30</v>
      </c>
      <c r="K262" s="16">
        <v>20.0</v>
      </c>
      <c r="L262" s="16">
        <v>5.0</v>
      </c>
      <c r="M262" s="16">
        <v>25.0</v>
      </c>
      <c r="N262" s="19">
        <f t="shared" si="1"/>
        <v>10</v>
      </c>
      <c r="O262" s="20">
        <f t="shared" si="2"/>
        <v>20</v>
      </c>
      <c r="P262" s="21" t="str">
        <f t="shared" si="3"/>
        <v>Com cupom</v>
      </c>
      <c r="Q262" s="23"/>
      <c r="R262" s="23"/>
      <c r="S262" s="23"/>
      <c r="T262" s="23"/>
    </row>
    <row r="263" ht="16.5" customHeight="1">
      <c r="A263" s="14">
        <v>3492.0</v>
      </c>
      <c r="B263" s="14" t="s">
        <v>286</v>
      </c>
      <c r="C263" s="14" t="s">
        <v>33</v>
      </c>
      <c r="D263" s="15">
        <v>45609.0</v>
      </c>
      <c r="E263" s="14" t="s">
        <v>30</v>
      </c>
      <c r="F263" s="16">
        <v>5.0</v>
      </c>
      <c r="G263" s="14" t="s">
        <v>35</v>
      </c>
      <c r="H263" s="14" t="s">
        <v>34</v>
      </c>
      <c r="I263" s="16">
        <v>0.0</v>
      </c>
      <c r="J263" s="14" t="s">
        <v>34</v>
      </c>
      <c r="K263" s="16">
        <v>0.0</v>
      </c>
      <c r="L263" s="16">
        <v>0.0</v>
      </c>
      <c r="M263" s="16">
        <v>5.0</v>
      </c>
      <c r="N263" s="19">
        <f t="shared" si="1"/>
        <v>5</v>
      </c>
      <c r="O263" s="20">
        <f t="shared" si="2"/>
        <v>0</v>
      </c>
      <c r="P263" s="21" t="str">
        <f t="shared" si="3"/>
        <v>Sem cupom</v>
      </c>
      <c r="Q263" s="23"/>
      <c r="R263" s="23"/>
      <c r="S263" s="23"/>
      <c r="T263" s="23"/>
    </row>
    <row r="264" ht="16.5" customHeight="1">
      <c r="A264" s="14">
        <v>3493.0</v>
      </c>
      <c r="B264" s="14" t="s">
        <v>287</v>
      </c>
      <c r="C264" s="14" t="s">
        <v>29</v>
      </c>
      <c r="D264" s="15">
        <v>45610.0</v>
      </c>
      <c r="E264" s="14" t="s">
        <v>34</v>
      </c>
      <c r="F264" s="16">
        <v>15.0</v>
      </c>
      <c r="G264" s="14" t="s">
        <v>38</v>
      </c>
      <c r="H264" s="14" t="s">
        <v>30</v>
      </c>
      <c r="I264" s="16">
        <v>30.0</v>
      </c>
      <c r="J264" s="14" t="s">
        <v>30</v>
      </c>
      <c r="K264" s="16">
        <v>20.0</v>
      </c>
      <c r="L264" s="16">
        <v>20.0</v>
      </c>
      <c r="M264" s="16">
        <v>45.0</v>
      </c>
      <c r="N264" s="19">
        <f t="shared" si="1"/>
        <v>15</v>
      </c>
      <c r="O264" s="20">
        <f t="shared" si="2"/>
        <v>50</v>
      </c>
      <c r="P264" s="21" t="str">
        <f t="shared" si="3"/>
        <v>Com cupom</v>
      </c>
      <c r="Q264" s="23"/>
      <c r="R264" s="23"/>
      <c r="S264" s="23"/>
      <c r="T264" s="23"/>
    </row>
    <row r="265" ht="16.5" customHeight="1">
      <c r="A265" s="14">
        <v>3494.0</v>
      </c>
      <c r="B265" s="14" t="s">
        <v>288</v>
      </c>
      <c r="C265" s="14" t="s">
        <v>37</v>
      </c>
      <c r="D265" s="15">
        <v>45611.0</v>
      </c>
      <c r="E265" s="14" t="s">
        <v>30</v>
      </c>
      <c r="F265" s="16">
        <v>10.0</v>
      </c>
      <c r="G265" s="14" t="s">
        <v>38</v>
      </c>
      <c r="H265" s="14" t="s">
        <v>34</v>
      </c>
      <c r="I265" s="16">
        <v>0.0</v>
      </c>
      <c r="J265" s="14" t="s">
        <v>30</v>
      </c>
      <c r="K265" s="16">
        <v>20.0</v>
      </c>
      <c r="L265" s="16">
        <v>12.0</v>
      </c>
      <c r="M265" s="16">
        <v>18.0</v>
      </c>
      <c r="N265" s="19">
        <f t="shared" si="1"/>
        <v>10</v>
      </c>
      <c r="O265" s="20">
        <f t="shared" si="2"/>
        <v>20</v>
      </c>
      <c r="P265" s="21" t="str">
        <f t="shared" si="3"/>
        <v>Com cupom</v>
      </c>
      <c r="Q265" s="23"/>
      <c r="R265" s="23"/>
      <c r="S265" s="23"/>
      <c r="T265" s="23"/>
    </row>
    <row r="266" ht="16.5" customHeight="1">
      <c r="A266" s="14">
        <v>3495.0</v>
      </c>
      <c r="B266" s="14" t="s">
        <v>289</v>
      </c>
      <c r="C266" s="14" t="s">
        <v>33</v>
      </c>
      <c r="D266" s="15">
        <v>45612.0</v>
      </c>
      <c r="E266" s="14" t="s">
        <v>34</v>
      </c>
      <c r="F266" s="16">
        <v>5.0</v>
      </c>
      <c r="G266" s="14" t="s">
        <v>31</v>
      </c>
      <c r="H266" s="14" t="s">
        <v>34</v>
      </c>
      <c r="I266" s="16">
        <v>0.0</v>
      </c>
      <c r="J266" s="14" t="s">
        <v>34</v>
      </c>
      <c r="K266" s="16">
        <v>0.0</v>
      </c>
      <c r="L266" s="16">
        <v>2.0</v>
      </c>
      <c r="M266" s="16">
        <v>3.0</v>
      </c>
      <c r="N266" s="19">
        <f t="shared" si="1"/>
        <v>5</v>
      </c>
      <c r="O266" s="20">
        <f t="shared" si="2"/>
        <v>0</v>
      </c>
      <c r="P266" s="21" t="str">
        <f t="shared" si="3"/>
        <v>Com cupom</v>
      </c>
      <c r="Q266" s="23"/>
      <c r="R266" s="23"/>
      <c r="S266" s="23"/>
      <c r="T266" s="23"/>
    </row>
    <row r="267" ht="16.5" customHeight="1">
      <c r="A267" s="14">
        <v>3496.0</v>
      </c>
      <c r="B267" s="14" t="s">
        <v>290</v>
      </c>
      <c r="C267" s="14" t="s">
        <v>29</v>
      </c>
      <c r="D267" s="15">
        <v>45613.0</v>
      </c>
      <c r="E267" s="14" t="s">
        <v>30</v>
      </c>
      <c r="F267" s="16">
        <v>15.0</v>
      </c>
      <c r="G267" s="14" t="s">
        <v>35</v>
      </c>
      <c r="H267" s="14" t="s">
        <v>30</v>
      </c>
      <c r="I267" s="16">
        <v>30.0</v>
      </c>
      <c r="J267" s="14" t="s">
        <v>30</v>
      </c>
      <c r="K267" s="16">
        <v>20.0</v>
      </c>
      <c r="L267" s="16">
        <v>5.0</v>
      </c>
      <c r="M267" s="16">
        <v>60.0</v>
      </c>
      <c r="N267" s="19">
        <f t="shared" si="1"/>
        <v>15</v>
      </c>
      <c r="O267" s="20">
        <f t="shared" si="2"/>
        <v>50</v>
      </c>
      <c r="P267" s="21" t="str">
        <f t="shared" si="3"/>
        <v>Com cupom</v>
      </c>
      <c r="Q267" s="23"/>
      <c r="R267" s="23"/>
      <c r="S267" s="23"/>
      <c r="T267" s="23"/>
    </row>
    <row r="268" ht="16.5" customHeight="1">
      <c r="A268" s="14">
        <v>3497.0</v>
      </c>
      <c r="B268" s="14" t="s">
        <v>291</v>
      </c>
      <c r="C268" s="14" t="s">
        <v>37</v>
      </c>
      <c r="D268" s="15">
        <v>45614.0</v>
      </c>
      <c r="E268" s="14" t="s">
        <v>34</v>
      </c>
      <c r="F268" s="16">
        <v>10.0</v>
      </c>
      <c r="G268" s="14" t="s">
        <v>31</v>
      </c>
      <c r="H268" s="14" t="s">
        <v>34</v>
      </c>
      <c r="I268" s="16">
        <v>0.0</v>
      </c>
      <c r="J268" s="14" t="s">
        <v>30</v>
      </c>
      <c r="K268" s="16">
        <v>20.0</v>
      </c>
      <c r="L268" s="16">
        <v>10.0</v>
      </c>
      <c r="M268" s="16">
        <v>20.0</v>
      </c>
      <c r="N268" s="19">
        <f t="shared" si="1"/>
        <v>10</v>
      </c>
      <c r="O268" s="20">
        <f t="shared" si="2"/>
        <v>20</v>
      </c>
      <c r="P268" s="21" t="str">
        <f t="shared" si="3"/>
        <v>Com cupom</v>
      </c>
      <c r="Q268" s="23"/>
      <c r="R268" s="23"/>
      <c r="S268" s="23"/>
      <c r="T268" s="23"/>
    </row>
    <row r="269" ht="16.5" customHeight="1">
      <c r="A269" s="14">
        <v>3498.0</v>
      </c>
      <c r="B269" s="14" t="s">
        <v>292</v>
      </c>
      <c r="C269" s="14" t="s">
        <v>33</v>
      </c>
      <c r="D269" s="15">
        <v>45615.0</v>
      </c>
      <c r="E269" s="14" t="s">
        <v>30</v>
      </c>
      <c r="F269" s="16">
        <v>5.0</v>
      </c>
      <c r="G269" s="14" t="s">
        <v>38</v>
      </c>
      <c r="H269" s="14" t="s">
        <v>34</v>
      </c>
      <c r="I269" s="16">
        <v>0.0</v>
      </c>
      <c r="J269" s="14" t="s">
        <v>34</v>
      </c>
      <c r="K269" s="16">
        <v>0.0</v>
      </c>
      <c r="L269" s="16">
        <v>0.0</v>
      </c>
      <c r="M269" s="16">
        <v>5.0</v>
      </c>
      <c r="N269" s="19">
        <f t="shared" si="1"/>
        <v>5</v>
      </c>
      <c r="O269" s="20">
        <f t="shared" si="2"/>
        <v>0</v>
      </c>
      <c r="P269" s="21" t="str">
        <f t="shared" si="3"/>
        <v>Sem cupom</v>
      </c>
      <c r="Q269" s="23"/>
      <c r="R269" s="23"/>
      <c r="S269" s="23"/>
      <c r="T269" s="23"/>
    </row>
    <row r="270" ht="16.5" customHeight="1">
      <c r="A270" s="14">
        <v>3499.0</v>
      </c>
      <c r="B270" s="14" t="s">
        <v>293</v>
      </c>
      <c r="C270" s="14" t="s">
        <v>29</v>
      </c>
      <c r="D270" s="15">
        <v>45616.0</v>
      </c>
      <c r="E270" s="14" t="s">
        <v>34</v>
      </c>
      <c r="F270" s="16">
        <v>15.0</v>
      </c>
      <c r="G270" s="14" t="s">
        <v>31</v>
      </c>
      <c r="H270" s="14" t="s">
        <v>30</v>
      </c>
      <c r="I270" s="16">
        <v>30.0</v>
      </c>
      <c r="J270" s="14" t="s">
        <v>30</v>
      </c>
      <c r="K270" s="16">
        <v>20.0</v>
      </c>
      <c r="L270" s="16">
        <v>3.0</v>
      </c>
      <c r="M270" s="16">
        <v>62.0</v>
      </c>
      <c r="N270" s="19">
        <f t="shared" si="1"/>
        <v>15</v>
      </c>
      <c r="O270" s="20">
        <f t="shared" si="2"/>
        <v>50</v>
      </c>
      <c r="P270" s="21" t="str">
        <f t="shared" si="3"/>
        <v>Com cupom</v>
      </c>
      <c r="Q270" s="23"/>
      <c r="R270" s="23"/>
      <c r="S270" s="23"/>
      <c r="T270" s="23"/>
    </row>
    <row r="271" ht="16.5" customHeight="1">
      <c r="A271" s="14">
        <v>3500.0</v>
      </c>
      <c r="B271" s="14" t="s">
        <v>294</v>
      </c>
      <c r="C271" s="14" t="s">
        <v>37</v>
      </c>
      <c r="D271" s="15">
        <v>45617.0</v>
      </c>
      <c r="E271" s="14" t="s">
        <v>30</v>
      </c>
      <c r="F271" s="16">
        <v>10.0</v>
      </c>
      <c r="G271" s="14" t="s">
        <v>35</v>
      </c>
      <c r="H271" s="14" t="s">
        <v>34</v>
      </c>
      <c r="I271" s="16">
        <v>0.0</v>
      </c>
      <c r="J271" s="14" t="s">
        <v>30</v>
      </c>
      <c r="K271" s="16">
        <v>20.0</v>
      </c>
      <c r="L271" s="16">
        <v>15.0</v>
      </c>
      <c r="M271" s="16">
        <v>15.0</v>
      </c>
      <c r="N271" s="19">
        <f t="shared" si="1"/>
        <v>10</v>
      </c>
      <c r="O271" s="20">
        <f t="shared" si="2"/>
        <v>20</v>
      </c>
      <c r="P271" s="21" t="str">
        <f t="shared" si="3"/>
        <v>Com cupom</v>
      </c>
      <c r="Q271" s="23"/>
      <c r="R271" s="23"/>
      <c r="S271" s="23"/>
      <c r="T271" s="23"/>
    </row>
    <row r="272" ht="16.5" customHeight="1">
      <c r="A272" s="14">
        <v>3501.0</v>
      </c>
      <c r="B272" s="14" t="s">
        <v>295</v>
      </c>
      <c r="C272" s="14" t="s">
        <v>33</v>
      </c>
      <c r="D272" s="15">
        <v>45618.0</v>
      </c>
      <c r="E272" s="14" t="s">
        <v>34</v>
      </c>
      <c r="F272" s="16">
        <v>5.0</v>
      </c>
      <c r="G272" s="14" t="s">
        <v>31</v>
      </c>
      <c r="H272" s="14" t="s">
        <v>34</v>
      </c>
      <c r="I272" s="16">
        <v>0.0</v>
      </c>
      <c r="J272" s="14" t="s">
        <v>34</v>
      </c>
      <c r="K272" s="16">
        <v>0.0</v>
      </c>
      <c r="L272" s="16">
        <v>1.0</v>
      </c>
      <c r="M272" s="16">
        <v>4.0</v>
      </c>
      <c r="N272" s="19">
        <f t="shared" si="1"/>
        <v>5</v>
      </c>
      <c r="O272" s="20">
        <f t="shared" si="2"/>
        <v>0</v>
      </c>
      <c r="P272" s="21" t="str">
        <f t="shared" si="3"/>
        <v>Com cupom</v>
      </c>
      <c r="Q272" s="23"/>
      <c r="R272" s="23"/>
      <c r="S272" s="23"/>
      <c r="T272" s="23"/>
    </row>
    <row r="273" ht="16.5" customHeight="1">
      <c r="A273" s="14">
        <v>3502.0</v>
      </c>
      <c r="B273" s="14" t="s">
        <v>296</v>
      </c>
      <c r="C273" s="14" t="s">
        <v>29</v>
      </c>
      <c r="D273" s="15">
        <v>45619.0</v>
      </c>
      <c r="E273" s="14" t="s">
        <v>30</v>
      </c>
      <c r="F273" s="16">
        <v>15.0</v>
      </c>
      <c r="G273" s="14" t="s">
        <v>38</v>
      </c>
      <c r="H273" s="14" t="s">
        <v>30</v>
      </c>
      <c r="I273" s="16">
        <v>30.0</v>
      </c>
      <c r="J273" s="14" t="s">
        <v>30</v>
      </c>
      <c r="K273" s="16">
        <v>20.0</v>
      </c>
      <c r="L273" s="16">
        <v>7.0</v>
      </c>
      <c r="M273" s="16">
        <v>58.0</v>
      </c>
      <c r="N273" s="19">
        <f t="shared" si="1"/>
        <v>15</v>
      </c>
      <c r="O273" s="20">
        <f t="shared" si="2"/>
        <v>50</v>
      </c>
      <c r="P273" s="21" t="str">
        <f t="shared" si="3"/>
        <v>Com cupom</v>
      </c>
      <c r="Q273" s="23"/>
      <c r="R273" s="23"/>
      <c r="S273" s="23"/>
      <c r="T273" s="23"/>
    </row>
    <row r="274" ht="16.5" customHeight="1">
      <c r="A274" s="14">
        <v>3503.0</v>
      </c>
      <c r="B274" s="14" t="s">
        <v>155</v>
      </c>
      <c r="C274" s="14" t="s">
        <v>37</v>
      </c>
      <c r="D274" s="15">
        <v>45620.0</v>
      </c>
      <c r="E274" s="14" t="s">
        <v>34</v>
      </c>
      <c r="F274" s="16">
        <v>10.0</v>
      </c>
      <c r="G274" s="14" t="s">
        <v>31</v>
      </c>
      <c r="H274" s="14" t="s">
        <v>34</v>
      </c>
      <c r="I274" s="16">
        <v>0.0</v>
      </c>
      <c r="J274" s="14" t="s">
        <v>30</v>
      </c>
      <c r="K274" s="16">
        <v>20.0</v>
      </c>
      <c r="L274" s="16">
        <v>10.0</v>
      </c>
      <c r="M274" s="16">
        <v>20.0</v>
      </c>
      <c r="N274" s="19">
        <f t="shared" si="1"/>
        <v>10</v>
      </c>
      <c r="O274" s="20">
        <f t="shared" si="2"/>
        <v>20</v>
      </c>
      <c r="P274" s="21" t="str">
        <f t="shared" si="3"/>
        <v>Com cupom</v>
      </c>
      <c r="Q274" s="23"/>
      <c r="R274" s="23"/>
      <c r="S274" s="23"/>
      <c r="T274" s="23"/>
    </row>
    <row r="275" ht="16.5" customHeight="1">
      <c r="A275" s="14">
        <v>3504.0</v>
      </c>
      <c r="B275" s="14" t="s">
        <v>297</v>
      </c>
      <c r="C275" s="14" t="s">
        <v>33</v>
      </c>
      <c r="D275" s="15">
        <v>45621.0</v>
      </c>
      <c r="E275" s="14" t="s">
        <v>30</v>
      </c>
      <c r="F275" s="16">
        <v>5.0</v>
      </c>
      <c r="G275" s="14" t="s">
        <v>35</v>
      </c>
      <c r="H275" s="14" t="s">
        <v>34</v>
      </c>
      <c r="I275" s="16">
        <v>0.0</v>
      </c>
      <c r="J275" s="14" t="s">
        <v>34</v>
      </c>
      <c r="K275" s="16">
        <v>0.0</v>
      </c>
      <c r="L275" s="16">
        <v>0.0</v>
      </c>
      <c r="M275" s="16">
        <v>5.0</v>
      </c>
      <c r="N275" s="19">
        <f t="shared" si="1"/>
        <v>5</v>
      </c>
      <c r="O275" s="20">
        <f t="shared" si="2"/>
        <v>0</v>
      </c>
      <c r="P275" s="21" t="str">
        <f t="shared" si="3"/>
        <v>Sem cupom</v>
      </c>
      <c r="Q275" s="23"/>
      <c r="R275" s="23"/>
      <c r="S275" s="23"/>
      <c r="T275" s="23"/>
    </row>
    <row r="276" ht="16.5" customHeight="1">
      <c r="A276" s="14">
        <v>3505.0</v>
      </c>
      <c r="B276" s="14" t="s">
        <v>298</v>
      </c>
      <c r="C276" s="14" t="s">
        <v>29</v>
      </c>
      <c r="D276" s="15">
        <v>45622.0</v>
      </c>
      <c r="E276" s="14" t="s">
        <v>34</v>
      </c>
      <c r="F276" s="16">
        <v>15.0</v>
      </c>
      <c r="G276" s="14" t="s">
        <v>31</v>
      </c>
      <c r="H276" s="14" t="s">
        <v>30</v>
      </c>
      <c r="I276" s="16">
        <v>30.0</v>
      </c>
      <c r="J276" s="14" t="s">
        <v>30</v>
      </c>
      <c r="K276" s="16">
        <v>20.0</v>
      </c>
      <c r="L276" s="16">
        <v>20.0</v>
      </c>
      <c r="M276" s="16">
        <v>45.0</v>
      </c>
      <c r="N276" s="19">
        <f t="shared" si="1"/>
        <v>15</v>
      </c>
      <c r="O276" s="20">
        <f t="shared" si="2"/>
        <v>50</v>
      </c>
      <c r="P276" s="21" t="str">
        <f t="shared" si="3"/>
        <v>Com cupom</v>
      </c>
      <c r="Q276" s="23"/>
      <c r="R276" s="23"/>
      <c r="S276" s="23"/>
      <c r="T276" s="23"/>
    </row>
    <row r="277" ht="16.5" customHeight="1">
      <c r="A277" s="14">
        <v>3506.0</v>
      </c>
      <c r="B277" s="14" t="s">
        <v>299</v>
      </c>
      <c r="C277" s="14" t="s">
        <v>37</v>
      </c>
      <c r="D277" s="15">
        <v>45623.0</v>
      </c>
      <c r="E277" s="14" t="s">
        <v>30</v>
      </c>
      <c r="F277" s="16">
        <v>10.0</v>
      </c>
      <c r="G277" s="14" t="s">
        <v>38</v>
      </c>
      <c r="H277" s="14" t="s">
        <v>34</v>
      </c>
      <c r="I277" s="16">
        <v>0.0</v>
      </c>
      <c r="J277" s="14" t="s">
        <v>30</v>
      </c>
      <c r="K277" s="16">
        <v>20.0</v>
      </c>
      <c r="L277" s="16">
        <v>15.0</v>
      </c>
      <c r="M277" s="16">
        <v>15.0</v>
      </c>
      <c r="N277" s="19">
        <f t="shared" si="1"/>
        <v>10</v>
      </c>
      <c r="O277" s="20">
        <f t="shared" si="2"/>
        <v>20</v>
      </c>
      <c r="P277" s="21" t="str">
        <f t="shared" si="3"/>
        <v>Com cupom</v>
      </c>
      <c r="Q277" s="23"/>
      <c r="R277" s="23"/>
      <c r="S277" s="23"/>
      <c r="T277" s="23"/>
    </row>
    <row r="278" ht="16.5" customHeight="1">
      <c r="A278" s="14">
        <v>3507.0</v>
      </c>
      <c r="B278" s="14" t="s">
        <v>300</v>
      </c>
      <c r="C278" s="14" t="s">
        <v>33</v>
      </c>
      <c r="D278" s="15">
        <v>45624.0</v>
      </c>
      <c r="E278" s="14" t="s">
        <v>34</v>
      </c>
      <c r="F278" s="16">
        <v>5.0</v>
      </c>
      <c r="G278" s="14" t="s">
        <v>31</v>
      </c>
      <c r="H278" s="14" t="s">
        <v>34</v>
      </c>
      <c r="I278" s="16">
        <v>0.0</v>
      </c>
      <c r="J278" s="14" t="s">
        <v>34</v>
      </c>
      <c r="K278" s="16">
        <v>0.0</v>
      </c>
      <c r="L278" s="16">
        <v>1.0</v>
      </c>
      <c r="M278" s="16">
        <v>4.0</v>
      </c>
      <c r="N278" s="19">
        <f t="shared" si="1"/>
        <v>5</v>
      </c>
      <c r="O278" s="20">
        <f t="shared" si="2"/>
        <v>0</v>
      </c>
      <c r="P278" s="21" t="str">
        <f t="shared" si="3"/>
        <v>Com cupom</v>
      </c>
      <c r="Q278" s="23"/>
      <c r="R278" s="23"/>
      <c r="S278" s="23"/>
      <c r="T278" s="23"/>
    </row>
    <row r="279" ht="16.5" customHeight="1">
      <c r="A279" s="14">
        <v>3508.0</v>
      </c>
      <c r="B279" s="14" t="s">
        <v>301</v>
      </c>
      <c r="C279" s="14" t="s">
        <v>29</v>
      </c>
      <c r="D279" s="15">
        <v>45625.0</v>
      </c>
      <c r="E279" s="14" t="s">
        <v>30</v>
      </c>
      <c r="F279" s="16">
        <v>15.0</v>
      </c>
      <c r="G279" s="14" t="s">
        <v>35</v>
      </c>
      <c r="H279" s="14" t="s">
        <v>30</v>
      </c>
      <c r="I279" s="16">
        <v>30.0</v>
      </c>
      <c r="J279" s="14" t="s">
        <v>30</v>
      </c>
      <c r="K279" s="16">
        <v>20.0</v>
      </c>
      <c r="L279" s="16">
        <v>3.0</v>
      </c>
      <c r="M279" s="16">
        <v>62.0</v>
      </c>
      <c r="N279" s="19">
        <f t="shared" si="1"/>
        <v>15</v>
      </c>
      <c r="O279" s="20">
        <f t="shared" si="2"/>
        <v>50</v>
      </c>
      <c r="P279" s="21" t="str">
        <f t="shared" si="3"/>
        <v>Com cupom</v>
      </c>
      <c r="Q279" s="23"/>
      <c r="R279" s="23"/>
      <c r="S279" s="23"/>
      <c r="T279" s="23"/>
    </row>
    <row r="280" ht="16.5" customHeight="1">
      <c r="A280" s="14">
        <v>3509.0</v>
      </c>
      <c r="B280" s="14" t="s">
        <v>302</v>
      </c>
      <c r="C280" s="14" t="s">
        <v>37</v>
      </c>
      <c r="D280" s="15">
        <v>45626.0</v>
      </c>
      <c r="E280" s="14" t="s">
        <v>34</v>
      </c>
      <c r="F280" s="16">
        <v>10.0</v>
      </c>
      <c r="G280" s="14" t="s">
        <v>31</v>
      </c>
      <c r="H280" s="14" t="s">
        <v>34</v>
      </c>
      <c r="I280" s="16">
        <v>0.0</v>
      </c>
      <c r="J280" s="14" t="s">
        <v>30</v>
      </c>
      <c r="K280" s="16">
        <v>20.0</v>
      </c>
      <c r="L280" s="16">
        <v>10.0</v>
      </c>
      <c r="M280" s="16">
        <v>20.0</v>
      </c>
      <c r="N280" s="19">
        <f t="shared" si="1"/>
        <v>10</v>
      </c>
      <c r="O280" s="20">
        <f t="shared" si="2"/>
        <v>20</v>
      </c>
      <c r="P280" s="21" t="str">
        <f t="shared" si="3"/>
        <v>Com cupom</v>
      </c>
      <c r="Q280" s="23"/>
      <c r="R280" s="23"/>
      <c r="S280" s="23"/>
      <c r="T280" s="23"/>
    </row>
    <row r="281" ht="16.5" customHeight="1">
      <c r="A281" s="14">
        <v>3510.0</v>
      </c>
      <c r="B281" s="14" t="s">
        <v>303</v>
      </c>
      <c r="C281" s="14" t="s">
        <v>33</v>
      </c>
      <c r="D281" s="15">
        <v>45627.0</v>
      </c>
      <c r="E281" s="14" t="s">
        <v>30</v>
      </c>
      <c r="F281" s="16">
        <v>5.0</v>
      </c>
      <c r="G281" s="14" t="s">
        <v>38</v>
      </c>
      <c r="H281" s="14" t="s">
        <v>34</v>
      </c>
      <c r="I281" s="16">
        <v>0.0</v>
      </c>
      <c r="J281" s="14" t="s">
        <v>34</v>
      </c>
      <c r="K281" s="16">
        <v>0.0</v>
      </c>
      <c r="L281" s="16">
        <v>0.0</v>
      </c>
      <c r="M281" s="16">
        <v>5.0</v>
      </c>
      <c r="N281" s="19">
        <f t="shared" si="1"/>
        <v>5</v>
      </c>
      <c r="O281" s="20">
        <f t="shared" si="2"/>
        <v>0</v>
      </c>
      <c r="P281" s="21" t="str">
        <f t="shared" si="3"/>
        <v>Sem cupom</v>
      </c>
      <c r="Q281" s="23"/>
      <c r="R281" s="23"/>
      <c r="S281" s="23"/>
      <c r="T281" s="23"/>
    </row>
    <row r="282" ht="16.5" customHeight="1">
      <c r="A282" s="14">
        <v>3511.0</v>
      </c>
      <c r="B282" s="14" t="s">
        <v>304</v>
      </c>
      <c r="C282" s="14" t="s">
        <v>29</v>
      </c>
      <c r="D282" s="15">
        <v>45628.0</v>
      </c>
      <c r="E282" s="14" t="s">
        <v>34</v>
      </c>
      <c r="F282" s="16">
        <v>15.0</v>
      </c>
      <c r="G282" s="14" t="s">
        <v>31</v>
      </c>
      <c r="H282" s="14" t="s">
        <v>30</v>
      </c>
      <c r="I282" s="16">
        <v>30.0</v>
      </c>
      <c r="J282" s="14" t="s">
        <v>30</v>
      </c>
      <c r="K282" s="16">
        <v>20.0</v>
      </c>
      <c r="L282" s="16">
        <v>15.0</v>
      </c>
      <c r="M282" s="16">
        <v>50.0</v>
      </c>
      <c r="N282" s="19">
        <f t="shared" si="1"/>
        <v>15</v>
      </c>
      <c r="O282" s="20">
        <f t="shared" si="2"/>
        <v>50</v>
      </c>
      <c r="P282" s="21" t="str">
        <f t="shared" si="3"/>
        <v>Com cupom</v>
      </c>
      <c r="Q282" s="23"/>
      <c r="R282" s="23"/>
      <c r="S282" s="23"/>
      <c r="T282" s="23"/>
    </row>
    <row r="283" ht="16.5" customHeight="1">
      <c r="A283" s="14">
        <v>3512.0</v>
      </c>
      <c r="B283" s="14" t="s">
        <v>305</v>
      </c>
      <c r="C283" s="14" t="s">
        <v>37</v>
      </c>
      <c r="D283" s="15">
        <v>45629.0</v>
      </c>
      <c r="E283" s="14" t="s">
        <v>30</v>
      </c>
      <c r="F283" s="16">
        <v>10.0</v>
      </c>
      <c r="G283" s="14" t="s">
        <v>35</v>
      </c>
      <c r="H283" s="14" t="s">
        <v>34</v>
      </c>
      <c r="I283" s="16">
        <v>0.0</v>
      </c>
      <c r="J283" s="14" t="s">
        <v>30</v>
      </c>
      <c r="K283" s="16">
        <v>20.0</v>
      </c>
      <c r="L283" s="16">
        <v>15.0</v>
      </c>
      <c r="M283" s="16">
        <v>15.0</v>
      </c>
      <c r="N283" s="19">
        <f t="shared" si="1"/>
        <v>10</v>
      </c>
      <c r="O283" s="20">
        <f t="shared" si="2"/>
        <v>20</v>
      </c>
      <c r="P283" s="21" t="str">
        <f t="shared" si="3"/>
        <v>Com cupom</v>
      </c>
      <c r="Q283" s="23"/>
      <c r="R283" s="23"/>
      <c r="S283" s="23"/>
      <c r="T283" s="23"/>
    </row>
    <row r="284" ht="16.5" customHeight="1">
      <c r="A284" s="14">
        <v>3513.0</v>
      </c>
      <c r="B284" s="14" t="s">
        <v>306</v>
      </c>
      <c r="C284" s="14" t="s">
        <v>33</v>
      </c>
      <c r="D284" s="15">
        <v>45630.0</v>
      </c>
      <c r="E284" s="14" t="s">
        <v>34</v>
      </c>
      <c r="F284" s="16">
        <v>5.0</v>
      </c>
      <c r="G284" s="14" t="s">
        <v>31</v>
      </c>
      <c r="H284" s="14" t="s">
        <v>34</v>
      </c>
      <c r="I284" s="16">
        <v>0.0</v>
      </c>
      <c r="J284" s="14" t="s">
        <v>34</v>
      </c>
      <c r="K284" s="16">
        <v>0.0</v>
      </c>
      <c r="L284" s="16">
        <v>1.0</v>
      </c>
      <c r="M284" s="16">
        <v>4.0</v>
      </c>
      <c r="N284" s="19">
        <f t="shared" si="1"/>
        <v>5</v>
      </c>
      <c r="O284" s="20">
        <f t="shared" si="2"/>
        <v>0</v>
      </c>
      <c r="P284" s="21" t="str">
        <f t="shared" si="3"/>
        <v>Com cupom</v>
      </c>
      <c r="Q284" s="23"/>
      <c r="R284" s="23"/>
      <c r="S284" s="23"/>
      <c r="T284" s="23"/>
    </row>
    <row r="285" ht="16.5" customHeight="1">
      <c r="A285" s="14">
        <v>3514.0</v>
      </c>
      <c r="B285" s="14" t="s">
        <v>307</v>
      </c>
      <c r="C285" s="14" t="s">
        <v>29</v>
      </c>
      <c r="D285" s="15">
        <v>45631.0</v>
      </c>
      <c r="E285" s="14" t="s">
        <v>30</v>
      </c>
      <c r="F285" s="16">
        <v>15.0</v>
      </c>
      <c r="G285" s="14" t="s">
        <v>38</v>
      </c>
      <c r="H285" s="14" t="s">
        <v>30</v>
      </c>
      <c r="I285" s="16">
        <v>30.0</v>
      </c>
      <c r="J285" s="14" t="s">
        <v>30</v>
      </c>
      <c r="K285" s="16">
        <v>20.0</v>
      </c>
      <c r="L285" s="16">
        <v>7.0</v>
      </c>
      <c r="M285" s="16">
        <v>58.0</v>
      </c>
      <c r="N285" s="19">
        <f t="shared" si="1"/>
        <v>15</v>
      </c>
      <c r="O285" s="20">
        <f t="shared" si="2"/>
        <v>50</v>
      </c>
      <c r="P285" s="21" t="str">
        <f t="shared" si="3"/>
        <v>Com cupom</v>
      </c>
      <c r="Q285" s="23"/>
      <c r="R285" s="23"/>
      <c r="S285" s="23"/>
      <c r="T285" s="23"/>
    </row>
    <row r="286" ht="16.5" customHeight="1">
      <c r="A286" s="14">
        <v>3515.0</v>
      </c>
      <c r="B286" s="14" t="s">
        <v>166</v>
      </c>
      <c r="C286" s="14" t="s">
        <v>37</v>
      </c>
      <c r="D286" s="15">
        <v>45632.0</v>
      </c>
      <c r="E286" s="14" t="s">
        <v>34</v>
      </c>
      <c r="F286" s="16">
        <v>10.0</v>
      </c>
      <c r="G286" s="14" t="s">
        <v>31</v>
      </c>
      <c r="H286" s="14" t="s">
        <v>34</v>
      </c>
      <c r="I286" s="16">
        <v>0.0</v>
      </c>
      <c r="J286" s="14" t="s">
        <v>30</v>
      </c>
      <c r="K286" s="16">
        <v>20.0</v>
      </c>
      <c r="L286" s="16">
        <v>10.0</v>
      </c>
      <c r="M286" s="16">
        <v>20.0</v>
      </c>
      <c r="N286" s="19">
        <f t="shared" si="1"/>
        <v>10</v>
      </c>
      <c r="O286" s="20">
        <f t="shared" si="2"/>
        <v>20</v>
      </c>
      <c r="P286" s="21" t="str">
        <f t="shared" si="3"/>
        <v>Com cupom</v>
      </c>
      <c r="Q286" s="23"/>
      <c r="R286" s="23"/>
      <c r="S286" s="23"/>
      <c r="T286" s="23"/>
    </row>
    <row r="287" ht="16.5" customHeight="1">
      <c r="A287" s="14">
        <v>3516.0</v>
      </c>
      <c r="B287" s="14" t="s">
        <v>167</v>
      </c>
      <c r="C287" s="14" t="s">
        <v>33</v>
      </c>
      <c r="D287" s="15">
        <v>45633.0</v>
      </c>
      <c r="E287" s="14" t="s">
        <v>30</v>
      </c>
      <c r="F287" s="16">
        <v>5.0</v>
      </c>
      <c r="G287" s="14" t="s">
        <v>35</v>
      </c>
      <c r="H287" s="14" t="s">
        <v>34</v>
      </c>
      <c r="I287" s="16">
        <v>0.0</v>
      </c>
      <c r="J287" s="14" t="s">
        <v>34</v>
      </c>
      <c r="K287" s="16">
        <v>0.0</v>
      </c>
      <c r="L287" s="16">
        <v>0.0</v>
      </c>
      <c r="M287" s="16">
        <v>5.0</v>
      </c>
      <c r="N287" s="19">
        <f t="shared" si="1"/>
        <v>5</v>
      </c>
      <c r="O287" s="20">
        <f t="shared" si="2"/>
        <v>0</v>
      </c>
      <c r="P287" s="21" t="str">
        <f t="shared" si="3"/>
        <v>Sem cupom</v>
      </c>
      <c r="Q287" s="23"/>
      <c r="R287" s="23"/>
      <c r="S287" s="23"/>
      <c r="T287" s="23"/>
    </row>
    <row r="288" ht="16.5" customHeight="1">
      <c r="A288" s="14">
        <v>3517.0</v>
      </c>
      <c r="B288" s="14" t="s">
        <v>217</v>
      </c>
      <c r="C288" s="14" t="s">
        <v>29</v>
      </c>
      <c r="D288" s="15">
        <v>45634.0</v>
      </c>
      <c r="E288" s="14" t="s">
        <v>34</v>
      </c>
      <c r="F288" s="16">
        <v>15.0</v>
      </c>
      <c r="G288" s="14" t="s">
        <v>31</v>
      </c>
      <c r="H288" s="14" t="s">
        <v>30</v>
      </c>
      <c r="I288" s="16">
        <v>30.0</v>
      </c>
      <c r="J288" s="14" t="s">
        <v>30</v>
      </c>
      <c r="K288" s="16">
        <v>20.0</v>
      </c>
      <c r="L288" s="16">
        <v>20.0</v>
      </c>
      <c r="M288" s="16">
        <v>45.0</v>
      </c>
      <c r="N288" s="19">
        <f t="shared" si="1"/>
        <v>15</v>
      </c>
      <c r="O288" s="20">
        <f t="shared" si="2"/>
        <v>50</v>
      </c>
      <c r="P288" s="21" t="str">
        <f t="shared" si="3"/>
        <v>Com cupom</v>
      </c>
      <c r="Q288" s="23"/>
      <c r="R288" s="23"/>
      <c r="S288" s="23"/>
      <c r="T288" s="23"/>
    </row>
    <row r="289" ht="16.5" customHeight="1">
      <c r="A289" s="14">
        <v>3518.0</v>
      </c>
      <c r="B289" s="14" t="s">
        <v>308</v>
      </c>
      <c r="C289" s="14" t="s">
        <v>37</v>
      </c>
      <c r="D289" s="15">
        <v>45635.0</v>
      </c>
      <c r="E289" s="14" t="s">
        <v>30</v>
      </c>
      <c r="F289" s="16">
        <v>10.0</v>
      </c>
      <c r="G289" s="14" t="s">
        <v>38</v>
      </c>
      <c r="H289" s="14" t="s">
        <v>34</v>
      </c>
      <c r="I289" s="16">
        <v>0.0</v>
      </c>
      <c r="J289" s="14" t="s">
        <v>30</v>
      </c>
      <c r="K289" s="16">
        <v>20.0</v>
      </c>
      <c r="L289" s="16">
        <v>12.0</v>
      </c>
      <c r="M289" s="16">
        <v>18.0</v>
      </c>
      <c r="N289" s="19">
        <f t="shared" si="1"/>
        <v>10</v>
      </c>
      <c r="O289" s="20">
        <f t="shared" si="2"/>
        <v>20</v>
      </c>
      <c r="P289" s="21" t="str">
        <f t="shared" si="3"/>
        <v>Com cupom</v>
      </c>
      <c r="Q289" s="23"/>
      <c r="R289" s="23"/>
      <c r="S289" s="23"/>
      <c r="T289" s="23"/>
    </row>
    <row r="290" ht="16.5" customHeight="1">
      <c r="A290" s="14">
        <v>3519.0</v>
      </c>
      <c r="B290" s="14" t="s">
        <v>309</v>
      </c>
      <c r="C290" s="14" t="s">
        <v>33</v>
      </c>
      <c r="D290" s="15">
        <v>45636.0</v>
      </c>
      <c r="E290" s="14" t="s">
        <v>34</v>
      </c>
      <c r="F290" s="16">
        <v>5.0</v>
      </c>
      <c r="G290" s="14" t="s">
        <v>31</v>
      </c>
      <c r="H290" s="14" t="s">
        <v>34</v>
      </c>
      <c r="I290" s="16">
        <v>0.0</v>
      </c>
      <c r="J290" s="14" t="s">
        <v>34</v>
      </c>
      <c r="K290" s="16">
        <v>0.0</v>
      </c>
      <c r="L290" s="16">
        <v>2.0</v>
      </c>
      <c r="M290" s="16">
        <v>3.0</v>
      </c>
      <c r="N290" s="19">
        <f t="shared" si="1"/>
        <v>5</v>
      </c>
      <c r="O290" s="20">
        <f t="shared" si="2"/>
        <v>0</v>
      </c>
      <c r="P290" s="21" t="str">
        <f t="shared" si="3"/>
        <v>Com cupom</v>
      </c>
      <c r="Q290" s="23"/>
      <c r="R290" s="23"/>
      <c r="S290" s="23"/>
      <c r="T290" s="23"/>
    </row>
    <row r="291" ht="16.5" customHeight="1">
      <c r="A291" s="14">
        <v>3520.0</v>
      </c>
      <c r="B291" s="14" t="s">
        <v>310</v>
      </c>
      <c r="C291" s="14" t="s">
        <v>29</v>
      </c>
      <c r="D291" s="15">
        <v>45637.0</v>
      </c>
      <c r="E291" s="14" t="s">
        <v>30</v>
      </c>
      <c r="F291" s="16">
        <v>15.0</v>
      </c>
      <c r="G291" s="14" t="s">
        <v>35</v>
      </c>
      <c r="H291" s="14" t="s">
        <v>30</v>
      </c>
      <c r="I291" s="16">
        <v>30.0</v>
      </c>
      <c r="J291" s="14" t="s">
        <v>30</v>
      </c>
      <c r="K291" s="16">
        <v>20.0</v>
      </c>
      <c r="L291" s="16">
        <v>5.0</v>
      </c>
      <c r="M291" s="16">
        <v>60.0</v>
      </c>
      <c r="N291" s="19">
        <f t="shared" si="1"/>
        <v>15</v>
      </c>
      <c r="O291" s="20">
        <f t="shared" si="2"/>
        <v>50</v>
      </c>
      <c r="P291" s="21" t="str">
        <f t="shared" si="3"/>
        <v>Com cupom</v>
      </c>
      <c r="Q291" s="23"/>
      <c r="R291" s="23"/>
      <c r="S291" s="23"/>
      <c r="T291" s="23"/>
    </row>
    <row r="292" ht="16.5" customHeight="1">
      <c r="A292" s="14">
        <v>3521.0</v>
      </c>
      <c r="B292" s="14" t="s">
        <v>311</v>
      </c>
      <c r="C292" s="14" t="s">
        <v>37</v>
      </c>
      <c r="D292" s="15">
        <v>45638.0</v>
      </c>
      <c r="E292" s="14" t="s">
        <v>34</v>
      </c>
      <c r="F292" s="16">
        <v>10.0</v>
      </c>
      <c r="G292" s="14" t="s">
        <v>31</v>
      </c>
      <c r="H292" s="14" t="s">
        <v>34</v>
      </c>
      <c r="I292" s="16">
        <v>0.0</v>
      </c>
      <c r="J292" s="14" t="s">
        <v>30</v>
      </c>
      <c r="K292" s="16">
        <v>20.0</v>
      </c>
      <c r="L292" s="16">
        <v>10.0</v>
      </c>
      <c r="M292" s="16">
        <v>20.0</v>
      </c>
      <c r="N292" s="19">
        <f t="shared" si="1"/>
        <v>10</v>
      </c>
      <c r="O292" s="20">
        <f t="shared" si="2"/>
        <v>20</v>
      </c>
      <c r="P292" s="21" t="str">
        <f t="shared" si="3"/>
        <v>Com cupom</v>
      </c>
      <c r="Q292" s="23"/>
      <c r="R292" s="23"/>
      <c r="S292" s="23"/>
      <c r="T292" s="23"/>
    </row>
    <row r="293" ht="16.5" customHeight="1">
      <c r="A293" s="14">
        <v>3522.0</v>
      </c>
      <c r="B293" s="14" t="s">
        <v>312</v>
      </c>
      <c r="C293" s="14" t="s">
        <v>33</v>
      </c>
      <c r="D293" s="15">
        <v>45639.0</v>
      </c>
      <c r="E293" s="14" t="s">
        <v>30</v>
      </c>
      <c r="F293" s="16">
        <v>5.0</v>
      </c>
      <c r="G293" s="14" t="s">
        <v>38</v>
      </c>
      <c r="H293" s="14" t="s">
        <v>34</v>
      </c>
      <c r="I293" s="16">
        <v>0.0</v>
      </c>
      <c r="J293" s="14" t="s">
        <v>34</v>
      </c>
      <c r="K293" s="16">
        <v>0.0</v>
      </c>
      <c r="L293" s="16">
        <v>0.0</v>
      </c>
      <c r="M293" s="16">
        <v>5.0</v>
      </c>
      <c r="N293" s="19">
        <f t="shared" si="1"/>
        <v>5</v>
      </c>
      <c r="O293" s="20">
        <f t="shared" si="2"/>
        <v>0</v>
      </c>
      <c r="P293" s="21" t="str">
        <f t="shared" si="3"/>
        <v>Sem cupom</v>
      </c>
      <c r="Q293" s="23"/>
      <c r="R293" s="23"/>
      <c r="S293" s="23"/>
      <c r="T293" s="23"/>
    </row>
    <row r="294" ht="16.5" customHeight="1">
      <c r="A294" s="14">
        <v>3523.0</v>
      </c>
      <c r="B294" s="14" t="s">
        <v>313</v>
      </c>
      <c r="C294" s="14" t="s">
        <v>29</v>
      </c>
      <c r="D294" s="15">
        <v>45640.0</v>
      </c>
      <c r="E294" s="14" t="s">
        <v>34</v>
      </c>
      <c r="F294" s="16">
        <v>15.0</v>
      </c>
      <c r="G294" s="14" t="s">
        <v>31</v>
      </c>
      <c r="H294" s="14" t="s">
        <v>30</v>
      </c>
      <c r="I294" s="16">
        <v>30.0</v>
      </c>
      <c r="J294" s="14" t="s">
        <v>30</v>
      </c>
      <c r="K294" s="16">
        <v>20.0</v>
      </c>
      <c r="L294" s="16">
        <v>3.0</v>
      </c>
      <c r="M294" s="16">
        <v>62.0</v>
      </c>
      <c r="N294" s="19">
        <f t="shared" si="1"/>
        <v>15</v>
      </c>
      <c r="O294" s="20">
        <f t="shared" si="2"/>
        <v>50</v>
      </c>
      <c r="P294" s="21" t="str">
        <f t="shared" si="3"/>
        <v>Com cupom</v>
      </c>
      <c r="Q294" s="23"/>
      <c r="R294" s="23"/>
      <c r="S294" s="23"/>
      <c r="T294" s="23"/>
    </row>
    <row r="295" ht="16.5" customHeight="1">
      <c r="A295" s="14">
        <v>3524.0</v>
      </c>
      <c r="B295" s="14" t="s">
        <v>314</v>
      </c>
      <c r="C295" s="14" t="s">
        <v>37</v>
      </c>
      <c r="D295" s="15">
        <v>45641.0</v>
      </c>
      <c r="E295" s="14" t="s">
        <v>30</v>
      </c>
      <c r="F295" s="16">
        <v>10.0</v>
      </c>
      <c r="G295" s="14" t="s">
        <v>35</v>
      </c>
      <c r="H295" s="14" t="s">
        <v>34</v>
      </c>
      <c r="I295" s="16">
        <v>0.0</v>
      </c>
      <c r="J295" s="14" t="s">
        <v>30</v>
      </c>
      <c r="K295" s="16">
        <v>20.0</v>
      </c>
      <c r="L295" s="16">
        <v>15.0</v>
      </c>
      <c r="M295" s="16">
        <v>15.0</v>
      </c>
      <c r="N295" s="19">
        <f t="shared" si="1"/>
        <v>10</v>
      </c>
      <c r="O295" s="20">
        <f t="shared" si="2"/>
        <v>20</v>
      </c>
      <c r="P295" s="21" t="str">
        <f t="shared" si="3"/>
        <v>Com cupom</v>
      </c>
      <c r="Q295" s="23"/>
      <c r="R295" s="23"/>
      <c r="S295" s="23"/>
      <c r="T295" s="23"/>
    </row>
    <row r="296" ht="16.5" customHeight="1">
      <c r="A296" s="14">
        <v>3525.0</v>
      </c>
      <c r="B296" s="14" t="s">
        <v>315</v>
      </c>
      <c r="C296" s="14" t="s">
        <v>33</v>
      </c>
      <c r="D296" s="15">
        <v>45642.0</v>
      </c>
      <c r="E296" s="14" t="s">
        <v>34</v>
      </c>
      <c r="F296" s="16">
        <v>5.0</v>
      </c>
      <c r="G296" s="14" t="s">
        <v>31</v>
      </c>
      <c r="H296" s="14" t="s">
        <v>34</v>
      </c>
      <c r="I296" s="16">
        <v>0.0</v>
      </c>
      <c r="J296" s="14" t="s">
        <v>34</v>
      </c>
      <c r="K296" s="16">
        <v>0.0</v>
      </c>
      <c r="L296" s="16">
        <v>1.0</v>
      </c>
      <c r="M296" s="16">
        <v>4.0</v>
      </c>
      <c r="N296" s="19">
        <f t="shared" si="1"/>
        <v>5</v>
      </c>
      <c r="O296" s="20">
        <f t="shared" si="2"/>
        <v>0</v>
      </c>
      <c r="P296" s="21" t="str">
        <f t="shared" si="3"/>
        <v>Com cupom</v>
      </c>
      <c r="Q296" s="23"/>
      <c r="R296" s="23"/>
      <c r="S296" s="23"/>
      <c r="T296" s="23"/>
    </row>
    <row r="297" ht="15.75" customHeight="1">
      <c r="N297" s="24"/>
      <c r="O297" s="25"/>
      <c r="P297" s="24"/>
    </row>
    <row r="298" ht="15.75" customHeight="1">
      <c r="N298" s="24"/>
      <c r="O298" s="25"/>
      <c r="P298" s="24"/>
    </row>
    <row r="299" ht="15.75" customHeight="1">
      <c r="N299" s="24"/>
      <c r="O299" s="25"/>
      <c r="P299" s="24"/>
    </row>
    <row r="300" ht="15.75" customHeight="1">
      <c r="N300" s="24"/>
      <c r="O300" s="25"/>
      <c r="P300" s="24"/>
    </row>
    <row r="301" ht="15.75" customHeight="1">
      <c r="N301" s="24"/>
      <c r="O301" s="25"/>
      <c r="P301" s="24"/>
    </row>
    <row r="302" ht="15.75" customHeight="1">
      <c r="N302" s="24"/>
      <c r="O302" s="25"/>
      <c r="P302" s="24"/>
    </row>
    <row r="303" ht="15.75" customHeight="1">
      <c r="N303" s="24"/>
      <c r="O303" s="25"/>
      <c r="P303" s="24"/>
    </row>
    <row r="304" ht="15.75" customHeight="1">
      <c r="N304" s="24"/>
      <c r="O304" s="25"/>
      <c r="P304" s="24"/>
    </row>
    <row r="305" ht="15.75" customHeight="1">
      <c r="N305" s="24"/>
      <c r="O305" s="25"/>
      <c r="P305" s="24"/>
    </row>
    <row r="306" ht="15.75" customHeight="1">
      <c r="N306" s="24"/>
      <c r="O306" s="25"/>
      <c r="P306" s="24"/>
    </row>
    <row r="307" ht="15.75" customHeight="1">
      <c r="N307" s="24"/>
      <c r="O307" s="25"/>
      <c r="P307" s="24"/>
    </row>
    <row r="308" ht="15.75" customHeight="1">
      <c r="N308" s="24"/>
      <c r="O308" s="25"/>
      <c r="P308" s="24"/>
    </row>
    <row r="309" ht="15.75" customHeight="1">
      <c r="N309" s="24"/>
      <c r="O309" s="25"/>
      <c r="P309" s="24"/>
    </row>
    <row r="310" ht="15.75" customHeight="1">
      <c r="N310" s="24"/>
      <c r="O310" s="25"/>
      <c r="P310" s="24"/>
    </row>
    <row r="311" ht="15.75" customHeight="1">
      <c r="N311" s="24"/>
      <c r="O311" s="25"/>
      <c r="P311" s="24"/>
    </row>
    <row r="312" ht="15.75" customHeight="1">
      <c r="N312" s="24"/>
      <c r="O312" s="25"/>
      <c r="P312" s="24"/>
    </row>
    <row r="313" ht="15.75" customHeight="1">
      <c r="N313" s="24"/>
      <c r="O313" s="25"/>
      <c r="P313" s="24"/>
    </row>
    <row r="314" ht="15.75" customHeight="1">
      <c r="N314" s="24"/>
      <c r="O314" s="25"/>
      <c r="P314" s="24"/>
    </row>
    <row r="315" ht="15.75" customHeight="1">
      <c r="N315" s="24"/>
      <c r="O315" s="25"/>
      <c r="P315" s="24"/>
    </row>
    <row r="316" ht="15.75" customHeight="1">
      <c r="N316" s="24"/>
      <c r="O316" s="25"/>
      <c r="P316" s="24"/>
    </row>
    <row r="317" ht="15.75" customHeight="1">
      <c r="N317" s="24"/>
      <c r="O317" s="25"/>
      <c r="P317" s="24"/>
    </row>
    <row r="318" ht="15.75" customHeight="1">
      <c r="N318" s="24"/>
      <c r="O318" s="25"/>
      <c r="P318" s="24"/>
    </row>
    <row r="319" ht="15.75" customHeight="1">
      <c r="N319" s="24"/>
      <c r="O319" s="25"/>
      <c r="P319" s="24"/>
    </row>
    <row r="320" ht="15.75" customHeight="1">
      <c r="N320" s="24"/>
      <c r="O320" s="25"/>
      <c r="P320" s="24"/>
    </row>
    <row r="321" ht="15.75" customHeight="1">
      <c r="N321" s="24"/>
      <c r="O321" s="25"/>
      <c r="P321" s="24"/>
    </row>
    <row r="322" ht="15.75" customHeight="1">
      <c r="N322" s="24"/>
      <c r="O322" s="25"/>
      <c r="P322" s="24"/>
    </row>
    <row r="323" ht="15.75" customHeight="1">
      <c r="N323" s="24"/>
      <c r="O323" s="25"/>
      <c r="P323" s="24"/>
    </row>
    <row r="324" ht="15.75" customHeight="1">
      <c r="N324" s="24"/>
      <c r="O324" s="25"/>
      <c r="P324" s="24"/>
    </row>
    <row r="325" ht="15.75" customHeight="1">
      <c r="N325" s="24"/>
      <c r="O325" s="25"/>
      <c r="P325" s="24"/>
    </row>
    <row r="326" ht="15.75" customHeight="1">
      <c r="N326" s="24"/>
      <c r="O326" s="25"/>
      <c r="P326" s="24"/>
    </row>
    <row r="327" ht="15.75" customHeight="1">
      <c r="N327" s="24"/>
      <c r="O327" s="25"/>
      <c r="P327" s="24"/>
    </row>
    <row r="328" ht="15.75" customHeight="1">
      <c r="N328" s="24"/>
      <c r="O328" s="25"/>
      <c r="P328" s="24"/>
    </row>
    <row r="329" ht="15.75" customHeight="1">
      <c r="N329" s="24"/>
      <c r="O329" s="25"/>
      <c r="P329" s="24"/>
    </row>
    <row r="330" ht="15.75" customHeight="1">
      <c r="N330" s="24"/>
      <c r="O330" s="25"/>
      <c r="P330" s="24"/>
    </row>
    <row r="331" ht="15.75" customHeight="1">
      <c r="N331" s="24"/>
      <c r="O331" s="25"/>
      <c r="P331" s="24"/>
    </row>
    <row r="332" ht="15.75" customHeight="1">
      <c r="N332" s="24"/>
      <c r="O332" s="25"/>
      <c r="P332" s="24"/>
    </row>
    <row r="333" ht="15.75" customHeight="1">
      <c r="N333" s="24"/>
      <c r="O333" s="25"/>
      <c r="P333" s="24"/>
    </row>
    <row r="334" ht="15.75" customHeight="1">
      <c r="N334" s="24"/>
      <c r="O334" s="25"/>
      <c r="P334" s="24"/>
    </row>
    <row r="335" ht="15.75" customHeight="1">
      <c r="N335" s="24"/>
      <c r="O335" s="25"/>
      <c r="P335" s="24"/>
    </row>
    <row r="336" ht="15.75" customHeight="1">
      <c r="N336" s="24"/>
      <c r="O336" s="25"/>
      <c r="P336" s="24"/>
    </row>
    <row r="337" ht="15.75" customHeight="1">
      <c r="N337" s="24"/>
      <c r="O337" s="25"/>
      <c r="P337" s="24"/>
    </row>
    <row r="338" ht="15.75" customHeight="1">
      <c r="N338" s="24"/>
      <c r="O338" s="25"/>
      <c r="P338" s="24"/>
    </row>
    <row r="339" ht="15.75" customHeight="1">
      <c r="N339" s="24"/>
      <c r="O339" s="25"/>
      <c r="P339" s="24"/>
    </row>
    <row r="340" ht="15.75" customHeight="1">
      <c r="N340" s="24"/>
      <c r="O340" s="25"/>
      <c r="P340" s="24"/>
    </row>
    <row r="341" ht="15.75" customHeight="1">
      <c r="N341" s="24"/>
      <c r="O341" s="25"/>
      <c r="P341" s="24"/>
    </row>
    <row r="342" ht="15.75" customHeight="1">
      <c r="N342" s="24"/>
      <c r="O342" s="25"/>
      <c r="P342" s="24"/>
    </row>
    <row r="343" ht="15.75" customHeight="1">
      <c r="N343" s="24"/>
      <c r="O343" s="25"/>
      <c r="P343" s="24"/>
    </row>
    <row r="344" ht="15.75" customHeight="1">
      <c r="N344" s="24"/>
      <c r="O344" s="25"/>
      <c r="P344" s="24"/>
    </row>
    <row r="345" ht="15.75" customHeight="1">
      <c r="N345" s="24"/>
      <c r="O345" s="25"/>
      <c r="P345" s="24"/>
    </row>
    <row r="346" ht="15.75" customHeight="1">
      <c r="N346" s="24"/>
      <c r="O346" s="25"/>
      <c r="P346" s="24"/>
    </row>
    <row r="347" ht="15.75" customHeight="1">
      <c r="N347" s="24"/>
      <c r="O347" s="25"/>
      <c r="P347" s="24"/>
    </row>
    <row r="348" ht="15.75" customHeight="1">
      <c r="N348" s="24"/>
      <c r="O348" s="25"/>
      <c r="P348" s="24"/>
    </row>
    <row r="349" ht="15.75" customHeight="1">
      <c r="N349" s="24"/>
      <c r="O349" s="25"/>
      <c r="P349" s="24"/>
    </row>
    <row r="350" ht="15.75" customHeight="1">
      <c r="N350" s="24"/>
      <c r="O350" s="25"/>
      <c r="P350" s="24"/>
    </row>
    <row r="351" ht="15.75" customHeight="1">
      <c r="N351" s="24"/>
      <c r="O351" s="25"/>
      <c r="P351" s="24"/>
    </row>
    <row r="352" ht="15.75" customHeight="1">
      <c r="N352" s="24"/>
      <c r="O352" s="25"/>
      <c r="P352" s="24"/>
    </row>
    <row r="353" ht="15.75" customHeight="1">
      <c r="N353" s="24"/>
      <c r="O353" s="25"/>
      <c r="P353" s="24"/>
    </row>
    <row r="354" ht="15.75" customHeight="1">
      <c r="N354" s="24"/>
      <c r="O354" s="25"/>
      <c r="P354" s="24"/>
    </row>
    <row r="355" ht="15.75" customHeight="1">
      <c r="N355" s="24"/>
      <c r="O355" s="25"/>
      <c r="P355" s="24"/>
    </row>
    <row r="356" ht="15.75" customHeight="1">
      <c r="N356" s="24"/>
      <c r="O356" s="25"/>
      <c r="P356" s="24"/>
    </row>
    <row r="357" ht="15.75" customHeight="1">
      <c r="N357" s="24"/>
      <c r="O357" s="25"/>
      <c r="P357" s="24"/>
    </row>
    <row r="358" ht="15.75" customHeight="1">
      <c r="N358" s="24"/>
      <c r="O358" s="25"/>
      <c r="P358" s="24"/>
    </row>
    <row r="359" ht="15.75" customHeight="1">
      <c r="N359" s="24"/>
      <c r="O359" s="25"/>
      <c r="P359" s="24"/>
    </row>
    <row r="360" ht="15.75" customHeight="1">
      <c r="N360" s="24"/>
      <c r="O360" s="25"/>
      <c r="P360" s="24"/>
    </row>
    <row r="361" ht="15.75" customHeight="1">
      <c r="N361" s="24"/>
      <c r="O361" s="25"/>
      <c r="P361" s="24"/>
    </row>
    <row r="362" ht="15.75" customHeight="1">
      <c r="N362" s="24"/>
      <c r="O362" s="25"/>
      <c r="P362" s="24"/>
    </row>
    <row r="363" ht="15.75" customHeight="1">
      <c r="N363" s="24"/>
      <c r="O363" s="25"/>
      <c r="P363" s="24"/>
    </row>
    <row r="364" ht="15.75" customHeight="1">
      <c r="N364" s="24"/>
      <c r="O364" s="25"/>
      <c r="P364" s="24"/>
    </row>
    <row r="365" ht="15.75" customHeight="1">
      <c r="N365" s="24"/>
      <c r="O365" s="25"/>
      <c r="P365" s="24"/>
    </row>
    <row r="366" ht="15.75" customHeight="1">
      <c r="N366" s="24"/>
      <c r="O366" s="25"/>
      <c r="P366" s="24"/>
    </row>
    <row r="367" ht="15.75" customHeight="1">
      <c r="N367" s="24"/>
      <c r="O367" s="25"/>
      <c r="P367" s="24"/>
    </row>
    <row r="368" ht="15.75" customHeight="1">
      <c r="N368" s="24"/>
      <c r="O368" s="25"/>
      <c r="P368" s="24"/>
    </row>
    <row r="369" ht="15.75" customHeight="1">
      <c r="N369" s="24"/>
      <c r="O369" s="25"/>
      <c r="P369" s="24"/>
    </row>
    <row r="370" ht="15.75" customHeight="1">
      <c r="N370" s="24"/>
      <c r="O370" s="25"/>
      <c r="P370" s="24"/>
    </row>
    <row r="371" ht="15.75" customHeight="1">
      <c r="N371" s="24"/>
      <c r="O371" s="25"/>
      <c r="P371" s="24"/>
    </row>
    <row r="372" ht="15.75" customHeight="1">
      <c r="N372" s="24"/>
      <c r="O372" s="25"/>
      <c r="P372" s="24"/>
    </row>
    <row r="373" ht="15.75" customHeight="1">
      <c r="N373" s="24"/>
      <c r="O373" s="25"/>
      <c r="P373" s="24"/>
    </row>
    <row r="374" ht="15.75" customHeight="1">
      <c r="N374" s="24"/>
      <c r="O374" s="25"/>
      <c r="P374" s="24"/>
    </row>
    <row r="375" ht="15.75" customHeight="1">
      <c r="N375" s="24"/>
      <c r="O375" s="25"/>
      <c r="P375" s="24"/>
    </row>
    <row r="376" ht="15.75" customHeight="1">
      <c r="N376" s="24"/>
      <c r="O376" s="25"/>
      <c r="P376" s="24"/>
    </row>
    <row r="377" ht="15.75" customHeight="1">
      <c r="N377" s="24"/>
      <c r="O377" s="25"/>
      <c r="P377" s="24"/>
    </row>
    <row r="378" ht="15.75" customHeight="1">
      <c r="N378" s="24"/>
      <c r="O378" s="25"/>
      <c r="P378" s="24"/>
    </row>
    <row r="379" ht="15.75" customHeight="1">
      <c r="N379" s="24"/>
      <c r="O379" s="25"/>
      <c r="P379" s="24"/>
    </row>
    <row r="380" ht="15.75" customHeight="1">
      <c r="N380" s="24"/>
      <c r="O380" s="25"/>
      <c r="P380" s="24"/>
    </row>
    <row r="381" ht="15.75" customHeight="1">
      <c r="N381" s="24"/>
      <c r="O381" s="25"/>
      <c r="P381" s="24"/>
    </row>
    <row r="382" ht="15.75" customHeight="1">
      <c r="N382" s="24"/>
      <c r="O382" s="25"/>
      <c r="P382" s="24"/>
    </row>
    <row r="383" ht="15.75" customHeight="1">
      <c r="N383" s="24"/>
      <c r="O383" s="25"/>
      <c r="P383" s="24"/>
    </row>
    <row r="384" ht="15.75" customHeight="1">
      <c r="N384" s="24"/>
      <c r="O384" s="25"/>
      <c r="P384" s="24"/>
    </row>
    <row r="385" ht="15.75" customHeight="1">
      <c r="N385" s="24"/>
      <c r="O385" s="25"/>
      <c r="P385" s="24"/>
    </row>
    <row r="386" ht="15.75" customHeight="1">
      <c r="N386" s="24"/>
      <c r="O386" s="25"/>
      <c r="P386" s="24"/>
    </row>
    <row r="387" ht="15.75" customHeight="1">
      <c r="N387" s="24"/>
      <c r="O387" s="25"/>
      <c r="P387" s="24"/>
    </row>
    <row r="388" ht="15.75" customHeight="1">
      <c r="N388" s="24"/>
      <c r="O388" s="25"/>
      <c r="P388" s="24"/>
    </row>
    <row r="389" ht="15.75" customHeight="1">
      <c r="N389" s="24"/>
      <c r="O389" s="25"/>
      <c r="P389" s="24"/>
    </row>
    <row r="390" ht="15.75" customHeight="1">
      <c r="N390" s="24"/>
      <c r="O390" s="25"/>
      <c r="P390" s="24"/>
    </row>
    <row r="391" ht="15.75" customHeight="1">
      <c r="N391" s="24"/>
      <c r="O391" s="25"/>
      <c r="P391" s="24"/>
    </row>
    <row r="392" ht="15.75" customHeight="1">
      <c r="N392" s="24"/>
      <c r="O392" s="25"/>
      <c r="P392" s="24"/>
    </row>
    <row r="393" ht="15.75" customHeight="1">
      <c r="N393" s="24"/>
      <c r="O393" s="25"/>
      <c r="P393" s="24"/>
    </row>
    <row r="394" ht="15.75" customHeight="1">
      <c r="N394" s="24"/>
      <c r="O394" s="25"/>
      <c r="P394" s="24"/>
    </row>
    <row r="395" ht="15.75" customHeight="1">
      <c r="N395" s="24"/>
      <c r="O395" s="25"/>
      <c r="P395" s="24"/>
    </row>
    <row r="396" ht="15.75" customHeight="1">
      <c r="N396" s="24"/>
      <c r="O396" s="25"/>
      <c r="P396" s="24"/>
    </row>
    <row r="397" ht="15.75" customHeight="1">
      <c r="N397" s="24"/>
      <c r="O397" s="25"/>
      <c r="P397" s="24"/>
    </row>
    <row r="398" ht="15.75" customHeight="1">
      <c r="N398" s="24"/>
      <c r="O398" s="25"/>
      <c r="P398" s="24"/>
    </row>
    <row r="399" ht="15.75" customHeight="1">
      <c r="N399" s="24"/>
      <c r="O399" s="25"/>
      <c r="P399" s="24"/>
    </row>
    <row r="400" ht="15.75" customHeight="1">
      <c r="N400" s="24"/>
      <c r="O400" s="25"/>
      <c r="P400" s="24"/>
    </row>
    <row r="401" ht="15.75" customHeight="1">
      <c r="N401" s="24"/>
      <c r="O401" s="25"/>
      <c r="P401" s="24"/>
    </row>
    <row r="402" ht="15.75" customHeight="1">
      <c r="N402" s="24"/>
      <c r="O402" s="25"/>
      <c r="P402" s="24"/>
    </row>
    <row r="403" ht="15.75" customHeight="1">
      <c r="N403" s="24"/>
      <c r="O403" s="25"/>
      <c r="P403" s="24"/>
    </row>
    <row r="404" ht="15.75" customHeight="1">
      <c r="N404" s="24"/>
      <c r="O404" s="25"/>
      <c r="P404" s="24"/>
    </row>
    <row r="405" ht="15.75" customHeight="1">
      <c r="N405" s="24"/>
      <c r="O405" s="25"/>
      <c r="P405" s="24"/>
    </row>
    <row r="406" ht="15.75" customHeight="1">
      <c r="N406" s="24"/>
      <c r="O406" s="25"/>
      <c r="P406" s="24"/>
    </row>
    <row r="407" ht="15.75" customHeight="1">
      <c r="N407" s="24"/>
      <c r="O407" s="25"/>
      <c r="P407" s="24"/>
    </row>
    <row r="408" ht="15.75" customHeight="1">
      <c r="N408" s="24"/>
      <c r="O408" s="25"/>
      <c r="P408" s="24"/>
    </row>
    <row r="409" ht="15.75" customHeight="1">
      <c r="N409" s="24"/>
      <c r="O409" s="25"/>
      <c r="P409" s="24"/>
    </row>
    <row r="410" ht="15.75" customHeight="1">
      <c r="N410" s="24"/>
      <c r="O410" s="25"/>
      <c r="P410" s="24"/>
    </row>
    <row r="411" ht="15.75" customHeight="1">
      <c r="N411" s="24"/>
      <c r="O411" s="25"/>
      <c r="P411" s="24"/>
    </row>
    <row r="412" ht="15.75" customHeight="1">
      <c r="N412" s="24"/>
      <c r="O412" s="25"/>
      <c r="P412" s="24"/>
    </row>
    <row r="413" ht="15.75" customHeight="1">
      <c r="N413" s="24"/>
      <c r="O413" s="25"/>
      <c r="P413" s="24"/>
    </row>
    <row r="414" ht="15.75" customHeight="1">
      <c r="N414" s="24"/>
      <c r="O414" s="25"/>
      <c r="P414" s="24"/>
    </row>
    <row r="415" ht="15.75" customHeight="1">
      <c r="N415" s="24"/>
      <c r="O415" s="25"/>
      <c r="P415" s="24"/>
    </row>
    <row r="416" ht="15.75" customHeight="1">
      <c r="N416" s="24"/>
      <c r="O416" s="25"/>
      <c r="P416" s="24"/>
    </row>
    <row r="417" ht="15.75" customHeight="1">
      <c r="N417" s="24"/>
      <c r="O417" s="25"/>
      <c r="P417" s="24"/>
    </row>
    <row r="418" ht="15.75" customHeight="1">
      <c r="N418" s="24"/>
      <c r="O418" s="25"/>
      <c r="P418" s="24"/>
    </row>
    <row r="419" ht="15.75" customHeight="1">
      <c r="N419" s="24"/>
      <c r="O419" s="25"/>
      <c r="P419" s="24"/>
    </row>
    <row r="420" ht="15.75" customHeight="1">
      <c r="N420" s="24"/>
      <c r="O420" s="25"/>
      <c r="P420" s="24"/>
    </row>
    <row r="421" ht="15.75" customHeight="1">
      <c r="N421" s="24"/>
      <c r="O421" s="25"/>
      <c r="P421" s="24"/>
    </row>
    <row r="422" ht="15.75" customHeight="1">
      <c r="N422" s="24"/>
      <c r="O422" s="25"/>
      <c r="P422" s="24"/>
    </row>
    <row r="423" ht="15.75" customHeight="1">
      <c r="N423" s="24"/>
      <c r="O423" s="25"/>
      <c r="P423" s="24"/>
    </row>
    <row r="424" ht="15.75" customHeight="1">
      <c r="N424" s="24"/>
      <c r="O424" s="25"/>
      <c r="P424" s="24"/>
    </row>
    <row r="425" ht="15.75" customHeight="1">
      <c r="N425" s="24"/>
      <c r="O425" s="25"/>
      <c r="P425" s="24"/>
    </row>
    <row r="426" ht="15.75" customHeight="1">
      <c r="N426" s="24"/>
      <c r="O426" s="25"/>
      <c r="P426" s="24"/>
    </row>
    <row r="427" ht="15.75" customHeight="1">
      <c r="N427" s="24"/>
      <c r="O427" s="25"/>
      <c r="P427" s="24"/>
    </row>
    <row r="428" ht="15.75" customHeight="1">
      <c r="N428" s="24"/>
      <c r="O428" s="25"/>
      <c r="P428" s="24"/>
    </row>
    <row r="429" ht="15.75" customHeight="1">
      <c r="N429" s="24"/>
      <c r="O429" s="25"/>
      <c r="P429" s="24"/>
    </row>
    <row r="430" ht="15.75" customHeight="1">
      <c r="N430" s="24"/>
      <c r="O430" s="25"/>
      <c r="P430" s="24"/>
    </row>
    <row r="431" ht="15.75" customHeight="1">
      <c r="N431" s="24"/>
      <c r="O431" s="25"/>
      <c r="P431" s="24"/>
    </row>
    <row r="432" ht="15.75" customHeight="1">
      <c r="N432" s="24"/>
      <c r="O432" s="25"/>
      <c r="P432" s="24"/>
    </row>
    <row r="433" ht="15.75" customHeight="1">
      <c r="N433" s="24"/>
      <c r="O433" s="25"/>
      <c r="P433" s="24"/>
    </row>
    <row r="434" ht="15.75" customHeight="1">
      <c r="N434" s="24"/>
      <c r="O434" s="25"/>
      <c r="P434" s="24"/>
    </row>
    <row r="435" ht="15.75" customHeight="1">
      <c r="N435" s="24"/>
      <c r="O435" s="25"/>
      <c r="P435" s="24"/>
    </row>
    <row r="436" ht="15.75" customHeight="1">
      <c r="N436" s="24"/>
      <c r="O436" s="25"/>
      <c r="P436" s="24"/>
    </row>
    <row r="437" ht="15.75" customHeight="1">
      <c r="N437" s="24"/>
      <c r="O437" s="25"/>
      <c r="P437" s="24"/>
    </row>
    <row r="438" ht="15.75" customHeight="1">
      <c r="N438" s="24"/>
      <c r="O438" s="25"/>
      <c r="P438" s="24"/>
    </row>
    <row r="439" ht="15.75" customHeight="1">
      <c r="N439" s="24"/>
      <c r="O439" s="25"/>
      <c r="P439" s="24"/>
    </row>
    <row r="440" ht="15.75" customHeight="1">
      <c r="N440" s="24"/>
      <c r="O440" s="25"/>
      <c r="P440" s="24"/>
    </row>
    <row r="441" ht="15.75" customHeight="1">
      <c r="N441" s="24"/>
      <c r="O441" s="25"/>
      <c r="P441" s="24"/>
    </row>
    <row r="442" ht="15.75" customHeight="1">
      <c r="N442" s="24"/>
      <c r="O442" s="25"/>
      <c r="P442" s="24"/>
    </row>
    <row r="443" ht="15.75" customHeight="1">
      <c r="N443" s="24"/>
      <c r="O443" s="25"/>
      <c r="P443" s="24"/>
    </row>
    <row r="444" ht="15.75" customHeight="1">
      <c r="N444" s="24"/>
      <c r="O444" s="25"/>
      <c r="P444" s="24"/>
    </row>
    <row r="445" ht="15.75" customHeight="1">
      <c r="N445" s="24"/>
      <c r="O445" s="25"/>
      <c r="P445" s="24"/>
    </row>
    <row r="446" ht="15.75" customHeight="1">
      <c r="N446" s="24"/>
      <c r="O446" s="25"/>
      <c r="P446" s="24"/>
    </row>
    <row r="447" ht="15.75" customHeight="1">
      <c r="N447" s="24"/>
      <c r="O447" s="25"/>
      <c r="P447" s="24"/>
    </row>
    <row r="448" ht="15.75" customHeight="1">
      <c r="N448" s="24"/>
      <c r="O448" s="25"/>
      <c r="P448" s="24"/>
    </row>
    <row r="449" ht="15.75" customHeight="1">
      <c r="N449" s="24"/>
      <c r="O449" s="25"/>
      <c r="P449" s="24"/>
    </row>
    <row r="450" ht="15.75" customHeight="1">
      <c r="N450" s="24"/>
      <c r="O450" s="25"/>
      <c r="P450" s="24"/>
    </row>
    <row r="451" ht="15.75" customHeight="1">
      <c r="N451" s="24"/>
      <c r="O451" s="25"/>
      <c r="P451" s="24"/>
    </row>
    <row r="452" ht="15.75" customHeight="1">
      <c r="N452" s="24"/>
      <c r="O452" s="25"/>
      <c r="P452" s="24"/>
    </row>
    <row r="453" ht="15.75" customHeight="1">
      <c r="N453" s="24"/>
      <c r="O453" s="25"/>
      <c r="P453" s="24"/>
    </row>
    <row r="454" ht="15.75" customHeight="1">
      <c r="N454" s="24"/>
      <c r="O454" s="25"/>
      <c r="P454" s="24"/>
    </row>
    <row r="455" ht="15.75" customHeight="1">
      <c r="N455" s="24"/>
      <c r="O455" s="25"/>
      <c r="P455" s="24"/>
    </row>
    <row r="456" ht="15.75" customHeight="1">
      <c r="N456" s="24"/>
      <c r="O456" s="25"/>
      <c r="P456" s="24"/>
    </row>
    <row r="457" ht="15.75" customHeight="1">
      <c r="N457" s="24"/>
      <c r="O457" s="25"/>
      <c r="P457" s="24"/>
    </row>
    <row r="458" ht="15.75" customHeight="1">
      <c r="N458" s="24"/>
      <c r="O458" s="25"/>
      <c r="P458" s="24"/>
    </row>
    <row r="459" ht="15.75" customHeight="1">
      <c r="N459" s="24"/>
      <c r="O459" s="25"/>
      <c r="P459" s="24"/>
    </row>
    <row r="460" ht="15.75" customHeight="1">
      <c r="N460" s="24"/>
      <c r="O460" s="25"/>
      <c r="P460" s="24"/>
    </row>
    <row r="461" ht="15.75" customHeight="1">
      <c r="N461" s="24"/>
      <c r="O461" s="25"/>
      <c r="P461" s="24"/>
    </row>
    <row r="462" ht="15.75" customHeight="1">
      <c r="N462" s="24"/>
      <c r="O462" s="25"/>
      <c r="P462" s="24"/>
    </row>
    <row r="463" ht="15.75" customHeight="1">
      <c r="N463" s="24"/>
      <c r="O463" s="25"/>
      <c r="P463" s="24"/>
    </row>
    <row r="464" ht="15.75" customHeight="1">
      <c r="N464" s="24"/>
      <c r="O464" s="25"/>
      <c r="P464" s="24"/>
    </row>
    <row r="465" ht="15.75" customHeight="1">
      <c r="N465" s="24"/>
      <c r="O465" s="25"/>
      <c r="P465" s="24"/>
    </row>
    <row r="466" ht="15.75" customHeight="1">
      <c r="N466" s="24"/>
      <c r="O466" s="25"/>
      <c r="P466" s="24"/>
    </row>
    <row r="467" ht="15.75" customHeight="1">
      <c r="N467" s="24"/>
      <c r="O467" s="25"/>
      <c r="P467" s="24"/>
    </row>
    <row r="468" ht="15.75" customHeight="1">
      <c r="N468" s="24"/>
      <c r="O468" s="25"/>
      <c r="P468" s="24"/>
    </row>
    <row r="469" ht="15.75" customHeight="1">
      <c r="N469" s="24"/>
      <c r="O469" s="25"/>
      <c r="P469" s="24"/>
    </row>
    <row r="470" ht="15.75" customHeight="1">
      <c r="N470" s="24"/>
      <c r="O470" s="25"/>
      <c r="P470" s="24"/>
    </row>
    <row r="471" ht="15.75" customHeight="1">
      <c r="N471" s="24"/>
      <c r="O471" s="25"/>
      <c r="P471" s="24"/>
    </row>
    <row r="472" ht="15.75" customHeight="1">
      <c r="N472" s="24"/>
      <c r="O472" s="25"/>
      <c r="P472" s="24"/>
    </row>
    <row r="473" ht="15.75" customHeight="1">
      <c r="N473" s="24"/>
      <c r="O473" s="25"/>
      <c r="P473" s="24"/>
    </row>
    <row r="474" ht="15.75" customHeight="1">
      <c r="N474" s="24"/>
      <c r="O474" s="25"/>
      <c r="P474" s="24"/>
    </row>
    <row r="475" ht="15.75" customHeight="1">
      <c r="N475" s="24"/>
      <c r="O475" s="25"/>
      <c r="P475" s="24"/>
    </row>
    <row r="476" ht="15.75" customHeight="1">
      <c r="N476" s="24"/>
      <c r="O476" s="25"/>
      <c r="P476" s="24"/>
    </row>
    <row r="477" ht="15.75" customHeight="1">
      <c r="N477" s="24"/>
      <c r="O477" s="25"/>
      <c r="P477" s="24"/>
    </row>
    <row r="478" ht="15.75" customHeight="1">
      <c r="N478" s="24"/>
      <c r="O478" s="25"/>
      <c r="P478" s="24"/>
    </row>
    <row r="479" ht="15.75" customHeight="1">
      <c r="N479" s="24"/>
      <c r="O479" s="25"/>
      <c r="P479" s="24"/>
    </row>
    <row r="480" ht="15.75" customHeight="1">
      <c r="N480" s="24"/>
      <c r="O480" s="25"/>
      <c r="P480" s="24"/>
    </row>
    <row r="481" ht="15.75" customHeight="1">
      <c r="N481" s="24"/>
      <c r="O481" s="25"/>
      <c r="P481" s="24"/>
    </row>
    <row r="482" ht="15.75" customHeight="1">
      <c r="N482" s="24"/>
      <c r="O482" s="25"/>
      <c r="P482" s="24"/>
    </row>
    <row r="483" ht="15.75" customHeight="1">
      <c r="N483" s="24"/>
      <c r="O483" s="25"/>
      <c r="P483" s="24"/>
    </row>
    <row r="484" ht="15.75" customHeight="1">
      <c r="N484" s="24"/>
      <c r="O484" s="25"/>
      <c r="P484" s="24"/>
    </row>
    <row r="485" ht="15.75" customHeight="1">
      <c r="N485" s="24"/>
      <c r="O485" s="25"/>
      <c r="P485" s="24"/>
    </row>
    <row r="486" ht="15.75" customHeight="1">
      <c r="N486" s="24"/>
      <c r="O486" s="25"/>
      <c r="P486" s="24"/>
    </row>
    <row r="487" ht="15.75" customHeight="1">
      <c r="N487" s="24"/>
      <c r="O487" s="25"/>
      <c r="P487" s="24"/>
    </row>
    <row r="488" ht="15.75" customHeight="1">
      <c r="N488" s="24"/>
      <c r="O488" s="25"/>
      <c r="P488" s="24"/>
    </row>
    <row r="489" ht="15.75" customHeight="1">
      <c r="N489" s="24"/>
      <c r="O489" s="25"/>
      <c r="P489" s="24"/>
    </row>
    <row r="490" ht="15.75" customHeight="1">
      <c r="N490" s="24"/>
      <c r="O490" s="25"/>
      <c r="P490" s="24"/>
    </row>
    <row r="491" ht="15.75" customHeight="1">
      <c r="N491" s="24"/>
      <c r="O491" s="25"/>
      <c r="P491" s="24"/>
    </row>
    <row r="492" ht="15.75" customHeight="1">
      <c r="N492" s="24"/>
      <c r="O492" s="25"/>
      <c r="P492" s="24"/>
    </row>
    <row r="493" ht="15.75" customHeight="1">
      <c r="N493" s="24"/>
      <c r="O493" s="25"/>
      <c r="P493" s="24"/>
    </row>
    <row r="494" ht="15.75" customHeight="1">
      <c r="N494" s="24"/>
      <c r="O494" s="25"/>
      <c r="P494" s="24"/>
    </row>
    <row r="495" ht="15.75" customHeight="1">
      <c r="N495" s="24"/>
      <c r="O495" s="25"/>
      <c r="P495" s="24"/>
    </row>
    <row r="496" ht="15.75" customHeight="1">
      <c r="N496" s="24"/>
      <c r="O496" s="25"/>
      <c r="P496" s="24"/>
    </row>
    <row r="497" ht="15.75" customHeight="1">
      <c r="N497" s="24"/>
      <c r="O497" s="25"/>
      <c r="P497" s="24"/>
    </row>
    <row r="498" ht="15.75" customHeight="1">
      <c r="N498" s="24"/>
      <c r="O498" s="25"/>
      <c r="P498" s="24"/>
    </row>
    <row r="499" ht="15.75" customHeight="1">
      <c r="N499" s="24"/>
      <c r="O499" s="25"/>
      <c r="P499" s="24"/>
    </row>
    <row r="500" ht="15.75" customHeight="1">
      <c r="N500" s="24"/>
      <c r="O500" s="25"/>
      <c r="P500" s="24"/>
    </row>
    <row r="501" ht="15.75" customHeight="1">
      <c r="N501" s="24"/>
      <c r="O501" s="25"/>
      <c r="P501" s="24"/>
    </row>
    <row r="502" ht="15.75" customHeight="1">
      <c r="N502" s="24"/>
      <c r="O502" s="25"/>
      <c r="P502" s="24"/>
    </row>
    <row r="503" ht="15.75" customHeight="1">
      <c r="N503" s="24"/>
      <c r="O503" s="25"/>
      <c r="P503" s="24"/>
    </row>
    <row r="504" ht="15.75" customHeight="1">
      <c r="N504" s="24"/>
      <c r="O504" s="25"/>
      <c r="P504" s="24"/>
    </row>
    <row r="505" ht="15.75" customHeight="1">
      <c r="N505" s="24"/>
      <c r="O505" s="25"/>
      <c r="P505" s="24"/>
    </row>
    <row r="506" ht="15.75" customHeight="1">
      <c r="N506" s="24"/>
      <c r="O506" s="25"/>
      <c r="P506" s="24"/>
    </row>
    <row r="507" ht="15.75" customHeight="1">
      <c r="N507" s="24"/>
      <c r="O507" s="25"/>
      <c r="P507" s="24"/>
    </row>
    <row r="508" ht="15.75" customHeight="1">
      <c r="N508" s="24"/>
      <c r="O508" s="25"/>
      <c r="P508" s="24"/>
    </row>
    <row r="509" ht="15.75" customHeight="1">
      <c r="N509" s="24"/>
      <c r="O509" s="25"/>
      <c r="P509" s="24"/>
    </row>
    <row r="510" ht="15.75" customHeight="1">
      <c r="N510" s="24"/>
      <c r="O510" s="25"/>
      <c r="P510" s="24"/>
    </row>
    <row r="511" ht="15.75" customHeight="1">
      <c r="N511" s="24"/>
      <c r="O511" s="25"/>
      <c r="P511" s="24"/>
    </row>
    <row r="512" ht="15.75" customHeight="1">
      <c r="N512" s="24"/>
      <c r="O512" s="25"/>
      <c r="P512" s="24"/>
    </row>
    <row r="513" ht="15.75" customHeight="1">
      <c r="N513" s="24"/>
      <c r="O513" s="25"/>
      <c r="P513" s="24"/>
    </row>
    <row r="514" ht="15.75" customHeight="1">
      <c r="N514" s="24"/>
      <c r="O514" s="25"/>
      <c r="P514" s="24"/>
    </row>
    <row r="515" ht="15.75" customHeight="1">
      <c r="N515" s="24"/>
      <c r="O515" s="25"/>
      <c r="P515" s="24"/>
    </row>
    <row r="516" ht="15.75" customHeight="1">
      <c r="N516" s="24"/>
      <c r="O516" s="25"/>
      <c r="P516" s="24"/>
    </row>
    <row r="517" ht="15.75" customHeight="1">
      <c r="N517" s="24"/>
      <c r="O517" s="25"/>
      <c r="P517" s="24"/>
    </row>
    <row r="518" ht="15.75" customHeight="1">
      <c r="N518" s="24"/>
      <c r="O518" s="25"/>
      <c r="P518" s="24"/>
    </row>
    <row r="519" ht="15.75" customHeight="1">
      <c r="N519" s="24"/>
      <c r="O519" s="25"/>
      <c r="P519" s="24"/>
    </row>
    <row r="520" ht="15.75" customHeight="1">
      <c r="N520" s="24"/>
      <c r="O520" s="25"/>
      <c r="P520" s="24"/>
    </row>
    <row r="521" ht="15.75" customHeight="1">
      <c r="N521" s="24"/>
      <c r="O521" s="25"/>
      <c r="P521" s="24"/>
    </row>
    <row r="522" ht="15.75" customHeight="1">
      <c r="N522" s="24"/>
      <c r="O522" s="25"/>
      <c r="P522" s="24"/>
    </row>
    <row r="523" ht="15.75" customHeight="1">
      <c r="N523" s="24"/>
      <c r="O523" s="25"/>
      <c r="P523" s="24"/>
    </row>
    <row r="524" ht="15.75" customHeight="1">
      <c r="N524" s="24"/>
      <c r="O524" s="25"/>
      <c r="P524" s="24"/>
    </row>
    <row r="525" ht="15.75" customHeight="1">
      <c r="N525" s="24"/>
      <c r="O525" s="25"/>
      <c r="P525" s="24"/>
    </row>
    <row r="526" ht="15.75" customHeight="1">
      <c r="N526" s="24"/>
      <c r="O526" s="25"/>
      <c r="P526" s="24"/>
    </row>
    <row r="527" ht="15.75" customHeight="1">
      <c r="N527" s="24"/>
      <c r="O527" s="25"/>
      <c r="P527" s="24"/>
    </row>
    <row r="528" ht="15.75" customHeight="1">
      <c r="N528" s="24"/>
      <c r="O528" s="25"/>
      <c r="P528" s="24"/>
    </row>
    <row r="529" ht="15.75" customHeight="1">
      <c r="N529" s="24"/>
      <c r="O529" s="25"/>
      <c r="P529" s="24"/>
    </row>
    <row r="530" ht="15.75" customHeight="1">
      <c r="N530" s="24"/>
      <c r="O530" s="25"/>
      <c r="P530" s="24"/>
    </row>
    <row r="531" ht="15.75" customHeight="1">
      <c r="N531" s="24"/>
      <c r="O531" s="25"/>
      <c r="P531" s="24"/>
    </row>
    <row r="532" ht="15.75" customHeight="1">
      <c r="N532" s="24"/>
      <c r="O532" s="25"/>
      <c r="P532" s="24"/>
    </row>
    <row r="533" ht="15.75" customHeight="1">
      <c r="N533" s="24"/>
      <c r="O533" s="25"/>
      <c r="P533" s="24"/>
    </row>
    <row r="534" ht="15.75" customHeight="1">
      <c r="N534" s="24"/>
      <c r="O534" s="25"/>
      <c r="P534" s="24"/>
    </row>
    <row r="535" ht="15.75" customHeight="1">
      <c r="N535" s="24"/>
      <c r="O535" s="25"/>
      <c r="P535" s="24"/>
    </row>
    <row r="536" ht="15.75" customHeight="1">
      <c r="N536" s="24"/>
      <c r="O536" s="25"/>
      <c r="P536" s="24"/>
    </row>
    <row r="537" ht="15.75" customHeight="1">
      <c r="N537" s="24"/>
      <c r="O537" s="25"/>
      <c r="P537" s="24"/>
    </row>
    <row r="538" ht="15.75" customHeight="1">
      <c r="N538" s="24"/>
      <c r="O538" s="25"/>
      <c r="P538" s="24"/>
    </row>
    <row r="539" ht="15.75" customHeight="1">
      <c r="N539" s="24"/>
      <c r="O539" s="25"/>
      <c r="P539" s="24"/>
    </row>
    <row r="540" ht="15.75" customHeight="1">
      <c r="N540" s="24"/>
      <c r="O540" s="25"/>
      <c r="P540" s="24"/>
    </row>
    <row r="541" ht="15.75" customHeight="1">
      <c r="N541" s="24"/>
      <c r="O541" s="25"/>
      <c r="P541" s="24"/>
    </row>
    <row r="542" ht="15.75" customHeight="1">
      <c r="N542" s="24"/>
      <c r="O542" s="25"/>
      <c r="P542" s="24"/>
    </row>
    <row r="543" ht="15.75" customHeight="1">
      <c r="N543" s="24"/>
      <c r="O543" s="25"/>
      <c r="P543" s="24"/>
    </row>
    <row r="544" ht="15.75" customHeight="1">
      <c r="N544" s="24"/>
      <c r="O544" s="25"/>
      <c r="P544" s="24"/>
    </row>
    <row r="545" ht="15.75" customHeight="1">
      <c r="N545" s="24"/>
      <c r="O545" s="25"/>
      <c r="P545" s="24"/>
    </row>
    <row r="546" ht="15.75" customHeight="1">
      <c r="N546" s="24"/>
      <c r="O546" s="25"/>
      <c r="P546" s="24"/>
    </row>
    <row r="547" ht="15.75" customHeight="1">
      <c r="N547" s="24"/>
      <c r="O547" s="25"/>
      <c r="P547" s="24"/>
    </row>
    <row r="548" ht="15.75" customHeight="1">
      <c r="N548" s="24"/>
      <c r="O548" s="25"/>
      <c r="P548" s="24"/>
    </row>
    <row r="549" ht="15.75" customHeight="1">
      <c r="N549" s="24"/>
      <c r="O549" s="25"/>
      <c r="P549" s="24"/>
    </row>
    <row r="550" ht="15.75" customHeight="1">
      <c r="N550" s="24"/>
      <c r="O550" s="25"/>
      <c r="P550" s="24"/>
    </row>
    <row r="551" ht="15.75" customHeight="1">
      <c r="N551" s="24"/>
      <c r="O551" s="25"/>
      <c r="P551" s="24"/>
    </row>
    <row r="552" ht="15.75" customHeight="1">
      <c r="N552" s="24"/>
      <c r="O552" s="25"/>
      <c r="P552" s="24"/>
    </row>
    <row r="553" ht="15.75" customHeight="1">
      <c r="N553" s="24"/>
      <c r="O553" s="25"/>
      <c r="P553" s="24"/>
    </row>
    <row r="554" ht="15.75" customHeight="1">
      <c r="N554" s="24"/>
      <c r="O554" s="25"/>
      <c r="P554" s="24"/>
    </row>
    <row r="555" ht="15.75" customHeight="1">
      <c r="N555" s="24"/>
      <c r="O555" s="25"/>
      <c r="P555" s="24"/>
    </row>
    <row r="556" ht="15.75" customHeight="1">
      <c r="N556" s="24"/>
      <c r="O556" s="25"/>
      <c r="P556" s="24"/>
    </row>
    <row r="557" ht="15.75" customHeight="1">
      <c r="N557" s="24"/>
      <c r="O557" s="25"/>
      <c r="P557" s="24"/>
    </row>
    <row r="558" ht="15.75" customHeight="1">
      <c r="N558" s="24"/>
      <c r="O558" s="25"/>
      <c r="P558" s="24"/>
    </row>
    <row r="559" ht="15.75" customHeight="1">
      <c r="N559" s="24"/>
      <c r="O559" s="25"/>
      <c r="P559" s="24"/>
    </row>
    <row r="560" ht="15.75" customHeight="1">
      <c r="N560" s="24"/>
      <c r="O560" s="25"/>
      <c r="P560" s="24"/>
    </row>
    <row r="561" ht="15.75" customHeight="1">
      <c r="N561" s="24"/>
      <c r="O561" s="25"/>
      <c r="P561" s="24"/>
    </row>
    <row r="562" ht="15.75" customHeight="1">
      <c r="N562" s="24"/>
      <c r="O562" s="25"/>
      <c r="P562" s="24"/>
    </row>
    <row r="563" ht="15.75" customHeight="1">
      <c r="N563" s="24"/>
      <c r="O563" s="25"/>
      <c r="P563" s="24"/>
    </row>
    <row r="564" ht="15.75" customHeight="1">
      <c r="N564" s="24"/>
      <c r="O564" s="25"/>
      <c r="P564" s="24"/>
    </row>
    <row r="565" ht="15.75" customHeight="1">
      <c r="N565" s="24"/>
      <c r="O565" s="25"/>
      <c r="P565" s="24"/>
    </row>
    <row r="566" ht="15.75" customHeight="1">
      <c r="N566" s="24"/>
      <c r="O566" s="25"/>
      <c r="P566" s="24"/>
    </row>
    <row r="567" ht="15.75" customHeight="1">
      <c r="N567" s="24"/>
      <c r="O567" s="25"/>
      <c r="P567" s="24"/>
    </row>
    <row r="568" ht="15.75" customHeight="1">
      <c r="N568" s="24"/>
      <c r="O568" s="25"/>
      <c r="P568" s="24"/>
    </row>
    <row r="569" ht="15.75" customHeight="1">
      <c r="N569" s="24"/>
      <c r="O569" s="25"/>
      <c r="P569" s="24"/>
    </row>
    <row r="570" ht="15.75" customHeight="1">
      <c r="N570" s="24"/>
      <c r="O570" s="25"/>
      <c r="P570" s="24"/>
    </row>
    <row r="571" ht="15.75" customHeight="1">
      <c r="N571" s="24"/>
      <c r="O571" s="25"/>
      <c r="P571" s="24"/>
    </row>
    <row r="572" ht="15.75" customHeight="1">
      <c r="N572" s="24"/>
      <c r="O572" s="25"/>
      <c r="P572" s="24"/>
    </row>
    <row r="573" ht="15.75" customHeight="1">
      <c r="N573" s="24"/>
      <c r="O573" s="25"/>
      <c r="P573" s="24"/>
    </row>
    <row r="574" ht="15.75" customHeight="1">
      <c r="N574" s="24"/>
      <c r="O574" s="25"/>
      <c r="P574" s="24"/>
    </row>
    <row r="575" ht="15.75" customHeight="1">
      <c r="N575" s="24"/>
      <c r="O575" s="25"/>
      <c r="P575" s="24"/>
    </row>
    <row r="576" ht="15.75" customHeight="1">
      <c r="N576" s="24"/>
      <c r="O576" s="25"/>
      <c r="P576" s="24"/>
    </row>
    <row r="577" ht="15.75" customHeight="1">
      <c r="N577" s="24"/>
      <c r="O577" s="25"/>
      <c r="P577" s="24"/>
    </row>
    <row r="578" ht="15.75" customHeight="1">
      <c r="N578" s="24"/>
      <c r="O578" s="25"/>
      <c r="P578" s="24"/>
    </row>
    <row r="579" ht="15.75" customHeight="1">
      <c r="N579" s="24"/>
      <c r="O579" s="25"/>
      <c r="P579" s="24"/>
    </row>
    <row r="580" ht="15.75" customHeight="1">
      <c r="N580" s="24"/>
      <c r="O580" s="25"/>
      <c r="P580" s="24"/>
    </row>
    <row r="581" ht="15.75" customHeight="1">
      <c r="N581" s="24"/>
      <c r="O581" s="25"/>
      <c r="P581" s="24"/>
    </row>
    <row r="582" ht="15.75" customHeight="1">
      <c r="N582" s="24"/>
      <c r="O582" s="25"/>
      <c r="P582" s="24"/>
    </row>
    <row r="583" ht="15.75" customHeight="1">
      <c r="N583" s="24"/>
      <c r="O583" s="25"/>
      <c r="P583" s="24"/>
    </row>
    <row r="584" ht="15.75" customHeight="1">
      <c r="N584" s="24"/>
      <c r="O584" s="25"/>
      <c r="P584" s="24"/>
    </row>
    <row r="585" ht="15.75" customHeight="1">
      <c r="N585" s="24"/>
      <c r="O585" s="25"/>
      <c r="P585" s="24"/>
    </row>
    <row r="586" ht="15.75" customHeight="1">
      <c r="N586" s="24"/>
      <c r="O586" s="25"/>
      <c r="P586" s="24"/>
    </row>
    <row r="587" ht="15.75" customHeight="1">
      <c r="N587" s="24"/>
      <c r="O587" s="25"/>
      <c r="P587" s="24"/>
    </row>
    <row r="588" ht="15.75" customHeight="1">
      <c r="N588" s="24"/>
      <c r="O588" s="25"/>
      <c r="P588" s="24"/>
    </row>
    <row r="589" ht="15.75" customHeight="1">
      <c r="N589" s="24"/>
      <c r="O589" s="25"/>
      <c r="P589" s="24"/>
    </row>
    <row r="590" ht="15.75" customHeight="1">
      <c r="N590" s="24"/>
      <c r="O590" s="25"/>
      <c r="P590" s="24"/>
    </row>
    <row r="591" ht="15.75" customHeight="1">
      <c r="N591" s="24"/>
      <c r="O591" s="25"/>
      <c r="P591" s="24"/>
    </row>
    <row r="592" ht="15.75" customHeight="1">
      <c r="N592" s="24"/>
      <c r="O592" s="25"/>
      <c r="P592" s="24"/>
    </row>
    <row r="593" ht="15.75" customHeight="1">
      <c r="N593" s="24"/>
      <c r="O593" s="25"/>
      <c r="P593" s="24"/>
    </row>
    <row r="594" ht="15.75" customHeight="1">
      <c r="N594" s="24"/>
      <c r="O594" s="25"/>
      <c r="P594" s="24"/>
    </row>
    <row r="595" ht="15.75" customHeight="1">
      <c r="N595" s="24"/>
      <c r="O595" s="25"/>
      <c r="P595" s="24"/>
    </row>
    <row r="596" ht="15.75" customHeight="1">
      <c r="N596" s="24"/>
      <c r="O596" s="25"/>
      <c r="P596" s="24"/>
    </row>
    <row r="597" ht="15.75" customHeight="1">
      <c r="N597" s="24"/>
      <c r="O597" s="25"/>
      <c r="P597" s="24"/>
    </row>
    <row r="598" ht="15.75" customHeight="1">
      <c r="N598" s="24"/>
      <c r="O598" s="25"/>
      <c r="P598" s="24"/>
    </row>
    <row r="599" ht="15.75" customHeight="1">
      <c r="N599" s="24"/>
      <c r="O599" s="25"/>
      <c r="P599" s="24"/>
    </row>
    <row r="600" ht="15.75" customHeight="1">
      <c r="N600" s="24"/>
      <c r="O600" s="25"/>
      <c r="P600" s="24"/>
    </row>
    <row r="601" ht="15.75" customHeight="1">
      <c r="N601" s="24"/>
      <c r="O601" s="25"/>
      <c r="P601" s="24"/>
    </row>
    <row r="602" ht="15.75" customHeight="1">
      <c r="N602" s="24"/>
      <c r="O602" s="25"/>
      <c r="P602" s="24"/>
    </row>
    <row r="603" ht="15.75" customHeight="1">
      <c r="N603" s="24"/>
      <c r="O603" s="25"/>
      <c r="P603" s="24"/>
    </row>
    <row r="604" ht="15.75" customHeight="1">
      <c r="N604" s="24"/>
      <c r="O604" s="25"/>
      <c r="P604" s="24"/>
    </row>
    <row r="605" ht="15.75" customHeight="1">
      <c r="N605" s="24"/>
      <c r="O605" s="25"/>
      <c r="P605" s="24"/>
    </row>
    <row r="606" ht="15.75" customHeight="1">
      <c r="N606" s="24"/>
      <c r="O606" s="25"/>
      <c r="P606" s="24"/>
    </row>
    <row r="607" ht="15.75" customHeight="1">
      <c r="N607" s="24"/>
      <c r="O607" s="25"/>
      <c r="P607" s="24"/>
    </row>
    <row r="608" ht="15.75" customHeight="1">
      <c r="N608" s="24"/>
      <c r="O608" s="25"/>
      <c r="P608" s="24"/>
    </row>
    <row r="609" ht="15.75" customHeight="1">
      <c r="N609" s="24"/>
      <c r="O609" s="25"/>
      <c r="P609" s="24"/>
    </row>
    <row r="610" ht="15.75" customHeight="1">
      <c r="N610" s="24"/>
      <c r="O610" s="25"/>
      <c r="P610" s="24"/>
    </row>
    <row r="611" ht="15.75" customHeight="1">
      <c r="N611" s="24"/>
      <c r="O611" s="25"/>
      <c r="P611" s="24"/>
    </row>
    <row r="612" ht="15.75" customHeight="1">
      <c r="N612" s="24"/>
      <c r="O612" s="25"/>
      <c r="P612" s="24"/>
    </row>
    <row r="613" ht="15.75" customHeight="1">
      <c r="N613" s="24"/>
      <c r="O613" s="25"/>
      <c r="P613" s="24"/>
    </row>
    <row r="614" ht="15.75" customHeight="1">
      <c r="N614" s="24"/>
      <c r="O614" s="25"/>
      <c r="P614" s="24"/>
    </row>
    <row r="615" ht="15.75" customHeight="1">
      <c r="N615" s="24"/>
      <c r="O615" s="25"/>
      <c r="P615" s="24"/>
    </row>
    <row r="616" ht="15.75" customHeight="1">
      <c r="N616" s="24"/>
      <c r="O616" s="25"/>
      <c r="P616" s="24"/>
    </row>
    <row r="617" ht="15.75" customHeight="1">
      <c r="N617" s="24"/>
      <c r="O617" s="25"/>
      <c r="P617" s="24"/>
    </row>
    <row r="618" ht="15.75" customHeight="1">
      <c r="N618" s="24"/>
      <c r="O618" s="25"/>
      <c r="P618" s="24"/>
    </row>
    <row r="619" ht="15.75" customHeight="1">
      <c r="N619" s="24"/>
      <c r="O619" s="25"/>
      <c r="P619" s="24"/>
    </row>
    <row r="620" ht="15.75" customHeight="1">
      <c r="N620" s="24"/>
      <c r="O620" s="25"/>
      <c r="P620" s="24"/>
    </row>
    <row r="621" ht="15.75" customHeight="1">
      <c r="N621" s="24"/>
      <c r="O621" s="25"/>
      <c r="P621" s="24"/>
    </row>
    <row r="622" ht="15.75" customHeight="1">
      <c r="N622" s="24"/>
      <c r="O622" s="25"/>
      <c r="P622" s="24"/>
    </row>
    <row r="623" ht="15.75" customHeight="1">
      <c r="N623" s="24"/>
      <c r="O623" s="25"/>
      <c r="P623" s="24"/>
    </row>
    <row r="624" ht="15.75" customHeight="1">
      <c r="N624" s="24"/>
      <c r="O624" s="25"/>
      <c r="P624" s="24"/>
    </row>
    <row r="625" ht="15.75" customHeight="1">
      <c r="N625" s="24"/>
      <c r="O625" s="25"/>
      <c r="P625" s="24"/>
    </row>
    <row r="626" ht="15.75" customHeight="1">
      <c r="N626" s="24"/>
      <c r="O626" s="25"/>
      <c r="P626" s="24"/>
    </row>
    <row r="627" ht="15.75" customHeight="1">
      <c r="N627" s="24"/>
      <c r="O627" s="25"/>
      <c r="P627" s="24"/>
    </row>
    <row r="628" ht="15.75" customHeight="1">
      <c r="N628" s="24"/>
      <c r="O628" s="25"/>
      <c r="P628" s="24"/>
    </row>
    <row r="629" ht="15.75" customHeight="1">
      <c r="N629" s="24"/>
      <c r="O629" s="25"/>
      <c r="P629" s="24"/>
    </row>
    <row r="630" ht="15.75" customHeight="1">
      <c r="N630" s="24"/>
      <c r="O630" s="25"/>
      <c r="P630" s="24"/>
    </row>
    <row r="631" ht="15.75" customHeight="1">
      <c r="N631" s="24"/>
      <c r="O631" s="25"/>
      <c r="P631" s="24"/>
    </row>
    <row r="632" ht="15.75" customHeight="1">
      <c r="N632" s="24"/>
      <c r="O632" s="25"/>
      <c r="P632" s="24"/>
    </row>
    <row r="633" ht="15.75" customHeight="1">
      <c r="N633" s="24"/>
      <c r="O633" s="25"/>
      <c r="P633" s="24"/>
    </row>
    <row r="634" ht="15.75" customHeight="1">
      <c r="N634" s="24"/>
      <c r="O634" s="25"/>
      <c r="P634" s="24"/>
    </row>
    <row r="635" ht="15.75" customHeight="1">
      <c r="N635" s="24"/>
      <c r="O635" s="25"/>
      <c r="P635" s="24"/>
    </row>
    <row r="636" ht="15.75" customHeight="1">
      <c r="N636" s="24"/>
      <c r="O636" s="25"/>
      <c r="P636" s="24"/>
    </row>
    <row r="637" ht="15.75" customHeight="1">
      <c r="N637" s="24"/>
      <c r="O637" s="25"/>
      <c r="P637" s="24"/>
    </row>
    <row r="638" ht="15.75" customHeight="1">
      <c r="N638" s="24"/>
      <c r="O638" s="25"/>
      <c r="P638" s="24"/>
    </row>
    <row r="639" ht="15.75" customHeight="1">
      <c r="N639" s="24"/>
      <c r="O639" s="25"/>
      <c r="P639" s="24"/>
    </row>
    <row r="640" ht="15.75" customHeight="1">
      <c r="N640" s="24"/>
      <c r="O640" s="25"/>
      <c r="P640" s="24"/>
    </row>
    <row r="641" ht="15.75" customHeight="1">
      <c r="N641" s="24"/>
      <c r="O641" s="25"/>
      <c r="P641" s="24"/>
    </row>
    <row r="642" ht="15.75" customHeight="1">
      <c r="N642" s="24"/>
      <c r="O642" s="25"/>
      <c r="P642" s="24"/>
    </row>
    <row r="643" ht="15.75" customHeight="1">
      <c r="N643" s="24"/>
      <c r="O643" s="25"/>
      <c r="P643" s="24"/>
    </row>
    <row r="644" ht="15.75" customHeight="1">
      <c r="N644" s="24"/>
      <c r="O644" s="25"/>
      <c r="P644" s="24"/>
    </row>
    <row r="645" ht="15.75" customHeight="1">
      <c r="N645" s="24"/>
      <c r="O645" s="25"/>
      <c r="P645" s="24"/>
    </row>
    <row r="646" ht="15.75" customHeight="1">
      <c r="N646" s="24"/>
      <c r="O646" s="25"/>
      <c r="P646" s="24"/>
    </row>
    <row r="647" ht="15.75" customHeight="1">
      <c r="N647" s="24"/>
      <c r="O647" s="25"/>
      <c r="P647" s="24"/>
    </row>
    <row r="648" ht="15.75" customHeight="1">
      <c r="N648" s="24"/>
      <c r="O648" s="25"/>
      <c r="P648" s="24"/>
    </row>
    <row r="649" ht="15.75" customHeight="1">
      <c r="N649" s="24"/>
      <c r="O649" s="25"/>
      <c r="P649" s="24"/>
    </row>
    <row r="650" ht="15.75" customHeight="1">
      <c r="N650" s="24"/>
      <c r="O650" s="25"/>
      <c r="P650" s="24"/>
    </row>
    <row r="651" ht="15.75" customHeight="1">
      <c r="N651" s="24"/>
      <c r="O651" s="25"/>
      <c r="P651" s="24"/>
    </row>
    <row r="652" ht="15.75" customHeight="1">
      <c r="N652" s="24"/>
      <c r="O652" s="25"/>
      <c r="P652" s="24"/>
    </row>
    <row r="653" ht="15.75" customHeight="1">
      <c r="N653" s="24"/>
      <c r="O653" s="25"/>
      <c r="P653" s="24"/>
    </row>
    <row r="654" ht="15.75" customHeight="1">
      <c r="N654" s="24"/>
      <c r="O654" s="25"/>
      <c r="P654" s="24"/>
    </row>
    <row r="655" ht="15.75" customHeight="1">
      <c r="N655" s="24"/>
      <c r="O655" s="25"/>
      <c r="P655" s="24"/>
    </row>
    <row r="656" ht="15.75" customHeight="1">
      <c r="N656" s="24"/>
      <c r="O656" s="25"/>
      <c r="P656" s="24"/>
    </row>
    <row r="657" ht="15.75" customHeight="1">
      <c r="N657" s="24"/>
      <c r="O657" s="25"/>
      <c r="P657" s="24"/>
    </row>
    <row r="658" ht="15.75" customHeight="1">
      <c r="N658" s="24"/>
      <c r="O658" s="25"/>
      <c r="P658" s="24"/>
    </row>
    <row r="659" ht="15.75" customHeight="1">
      <c r="N659" s="24"/>
      <c r="O659" s="25"/>
      <c r="P659" s="24"/>
    </row>
    <row r="660" ht="15.75" customHeight="1">
      <c r="N660" s="24"/>
      <c r="O660" s="25"/>
      <c r="P660" s="24"/>
    </row>
    <row r="661" ht="15.75" customHeight="1">
      <c r="N661" s="24"/>
      <c r="O661" s="25"/>
      <c r="P661" s="24"/>
    </row>
    <row r="662" ht="15.75" customHeight="1">
      <c r="N662" s="24"/>
      <c r="O662" s="25"/>
      <c r="P662" s="24"/>
    </row>
    <row r="663" ht="15.75" customHeight="1">
      <c r="N663" s="24"/>
      <c r="O663" s="25"/>
      <c r="P663" s="24"/>
    </row>
    <row r="664" ht="15.75" customHeight="1">
      <c r="N664" s="24"/>
      <c r="O664" s="25"/>
      <c r="P664" s="24"/>
    </row>
    <row r="665" ht="15.75" customHeight="1">
      <c r="N665" s="24"/>
      <c r="O665" s="25"/>
      <c r="P665" s="24"/>
    </row>
    <row r="666" ht="15.75" customHeight="1">
      <c r="N666" s="24"/>
      <c r="O666" s="25"/>
      <c r="P666" s="24"/>
    </row>
    <row r="667" ht="15.75" customHeight="1">
      <c r="N667" s="24"/>
      <c r="O667" s="25"/>
      <c r="P667" s="24"/>
    </row>
    <row r="668" ht="15.75" customHeight="1">
      <c r="N668" s="24"/>
      <c r="O668" s="25"/>
      <c r="P668" s="24"/>
    </row>
    <row r="669" ht="15.75" customHeight="1">
      <c r="N669" s="24"/>
      <c r="O669" s="25"/>
      <c r="P669" s="24"/>
    </row>
    <row r="670" ht="15.75" customHeight="1">
      <c r="N670" s="24"/>
      <c r="O670" s="25"/>
      <c r="P670" s="24"/>
    </row>
    <row r="671" ht="15.75" customHeight="1">
      <c r="N671" s="24"/>
      <c r="O671" s="25"/>
      <c r="P671" s="24"/>
    </row>
    <row r="672" ht="15.75" customHeight="1">
      <c r="N672" s="24"/>
      <c r="O672" s="25"/>
      <c r="P672" s="24"/>
    </row>
    <row r="673" ht="15.75" customHeight="1">
      <c r="N673" s="24"/>
      <c r="O673" s="25"/>
      <c r="P673" s="24"/>
    </row>
    <row r="674" ht="15.75" customHeight="1">
      <c r="N674" s="24"/>
      <c r="O674" s="25"/>
      <c r="P674" s="24"/>
    </row>
    <row r="675" ht="15.75" customHeight="1">
      <c r="N675" s="24"/>
      <c r="O675" s="25"/>
      <c r="P675" s="24"/>
    </row>
    <row r="676" ht="15.75" customHeight="1">
      <c r="N676" s="24"/>
      <c r="O676" s="25"/>
      <c r="P676" s="24"/>
    </row>
    <row r="677" ht="15.75" customHeight="1">
      <c r="N677" s="24"/>
      <c r="O677" s="25"/>
      <c r="P677" s="24"/>
    </row>
    <row r="678" ht="15.75" customHeight="1">
      <c r="N678" s="24"/>
      <c r="O678" s="25"/>
      <c r="P678" s="24"/>
    </row>
    <row r="679" ht="15.75" customHeight="1">
      <c r="N679" s="24"/>
      <c r="O679" s="25"/>
      <c r="P679" s="24"/>
    </row>
    <row r="680" ht="15.75" customHeight="1">
      <c r="N680" s="24"/>
      <c r="O680" s="25"/>
      <c r="P680" s="24"/>
    </row>
    <row r="681" ht="15.75" customHeight="1">
      <c r="N681" s="24"/>
      <c r="O681" s="25"/>
      <c r="P681" s="24"/>
    </row>
    <row r="682" ht="15.75" customHeight="1">
      <c r="N682" s="24"/>
      <c r="O682" s="25"/>
      <c r="P682" s="24"/>
    </row>
    <row r="683" ht="15.75" customHeight="1">
      <c r="N683" s="24"/>
      <c r="O683" s="25"/>
      <c r="P683" s="24"/>
    </row>
    <row r="684" ht="15.75" customHeight="1">
      <c r="N684" s="24"/>
      <c r="O684" s="25"/>
      <c r="P684" s="24"/>
    </row>
    <row r="685" ht="15.75" customHeight="1">
      <c r="N685" s="24"/>
      <c r="O685" s="25"/>
      <c r="P685" s="24"/>
    </row>
    <row r="686" ht="15.75" customHeight="1">
      <c r="N686" s="24"/>
      <c r="O686" s="25"/>
      <c r="P686" s="24"/>
    </row>
    <row r="687" ht="15.75" customHeight="1">
      <c r="N687" s="24"/>
      <c r="O687" s="25"/>
      <c r="P687" s="24"/>
    </row>
    <row r="688" ht="15.75" customHeight="1">
      <c r="N688" s="24"/>
      <c r="O688" s="25"/>
      <c r="P688" s="24"/>
    </row>
    <row r="689" ht="15.75" customHeight="1">
      <c r="N689" s="24"/>
      <c r="O689" s="25"/>
      <c r="P689" s="24"/>
    </row>
    <row r="690" ht="15.75" customHeight="1">
      <c r="N690" s="24"/>
      <c r="O690" s="25"/>
      <c r="P690" s="24"/>
    </row>
    <row r="691" ht="15.75" customHeight="1">
      <c r="N691" s="24"/>
      <c r="O691" s="25"/>
      <c r="P691" s="24"/>
    </row>
    <row r="692" ht="15.75" customHeight="1">
      <c r="N692" s="24"/>
      <c r="O692" s="25"/>
      <c r="P692" s="24"/>
    </row>
    <row r="693" ht="15.75" customHeight="1">
      <c r="N693" s="24"/>
      <c r="O693" s="25"/>
      <c r="P693" s="24"/>
    </row>
    <row r="694" ht="15.75" customHeight="1">
      <c r="N694" s="24"/>
      <c r="O694" s="25"/>
      <c r="P694" s="24"/>
    </row>
    <row r="695" ht="15.75" customHeight="1">
      <c r="N695" s="24"/>
      <c r="O695" s="25"/>
      <c r="P695" s="24"/>
    </row>
    <row r="696" ht="15.75" customHeight="1">
      <c r="N696" s="24"/>
      <c r="O696" s="25"/>
      <c r="P696" s="24"/>
    </row>
    <row r="697" ht="15.75" customHeight="1">
      <c r="N697" s="24"/>
      <c r="O697" s="25"/>
      <c r="P697" s="24"/>
    </row>
    <row r="698" ht="15.75" customHeight="1">
      <c r="N698" s="24"/>
      <c r="O698" s="25"/>
      <c r="P698" s="24"/>
    </row>
    <row r="699" ht="15.75" customHeight="1">
      <c r="N699" s="24"/>
      <c r="O699" s="25"/>
      <c r="P699" s="24"/>
    </row>
    <row r="700" ht="15.75" customHeight="1">
      <c r="N700" s="24"/>
      <c r="O700" s="25"/>
      <c r="P700" s="24"/>
    </row>
    <row r="701" ht="15.75" customHeight="1">
      <c r="N701" s="24"/>
      <c r="O701" s="25"/>
      <c r="P701" s="24"/>
    </row>
    <row r="702" ht="15.75" customHeight="1">
      <c r="N702" s="24"/>
      <c r="O702" s="25"/>
      <c r="P702" s="24"/>
    </row>
    <row r="703" ht="15.75" customHeight="1">
      <c r="N703" s="24"/>
      <c r="O703" s="25"/>
      <c r="P703" s="24"/>
    </row>
    <row r="704" ht="15.75" customHeight="1">
      <c r="N704" s="24"/>
      <c r="O704" s="25"/>
      <c r="P704" s="24"/>
    </row>
    <row r="705" ht="15.75" customHeight="1">
      <c r="N705" s="24"/>
      <c r="O705" s="25"/>
      <c r="P705" s="24"/>
    </row>
    <row r="706" ht="15.75" customHeight="1">
      <c r="N706" s="24"/>
      <c r="O706" s="25"/>
      <c r="P706" s="24"/>
    </row>
    <row r="707" ht="15.75" customHeight="1">
      <c r="N707" s="24"/>
      <c r="O707" s="25"/>
      <c r="P707" s="24"/>
    </row>
    <row r="708" ht="15.75" customHeight="1">
      <c r="N708" s="24"/>
      <c r="O708" s="25"/>
      <c r="P708" s="24"/>
    </row>
    <row r="709" ht="15.75" customHeight="1">
      <c r="N709" s="24"/>
      <c r="O709" s="25"/>
      <c r="P709" s="24"/>
    </row>
    <row r="710" ht="15.75" customHeight="1">
      <c r="N710" s="24"/>
      <c r="O710" s="25"/>
      <c r="P710" s="24"/>
    </row>
    <row r="711" ht="15.75" customHeight="1">
      <c r="N711" s="24"/>
      <c r="O711" s="25"/>
      <c r="P711" s="24"/>
    </row>
    <row r="712" ht="15.75" customHeight="1">
      <c r="N712" s="24"/>
      <c r="O712" s="25"/>
      <c r="P712" s="24"/>
    </row>
    <row r="713" ht="15.75" customHeight="1">
      <c r="N713" s="24"/>
      <c r="O713" s="25"/>
      <c r="P713" s="24"/>
    </row>
    <row r="714" ht="15.75" customHeight="1">
      <c r="N714" s="24"/>
      <c r="O714" s="25"/>
      <c r="P714" s="24"/>
    </row>
    <row r="715" ht="15.75" customHeight="1">
      <c r="N715" s="24"/>
      <c r="O715" s="25"/>
      <c r="P715" s="24"/>
    </row>
    <row r="716" ht="15.75" customHeight="1">
      <c r="N716" s="24"/>
      <c r="O716" s="25"/>
      <c r="P716" s="24"/>
    </row>
    <row r="717" ht="15.75" customHeight="1">
      <c r="N717" s="24"/>
      <c r="O717" s="25"/>
      <c r="P717" s="24"/>
    </row>
    <row r="718" ht="15.75" customHeight="1">
      <c r="N718" s="24"/>
      <c r="O718" s="25"/>
      <c r="P718" s="24"/>
    </row>
    <row r="719" ht="15.75" customHeight="1">
      <c r="N719" s="24"/>
      <c r="O719" s="25"/>
      <c r="P719" s="24"/>
    </row>
    <row r="720" ht="15.75" customHeight="1">
      <c r="N720" s="24"/>
      <c r="O720" s="25"/>
      <c r="P720" s="24"/>
    </row>
    <row r="721" ht="15.75" customHeight="1">
      <c r="N721" s="24"/>
      <c r="O721" s="25"/>
      <c r="P721" s="24"/>
    </row>
    <row r="722" ht="15.75" customHeight="1">
      <c r="N722" s="24"/>
      <c r="O722" s="25"/>
      <c r="P722" s="24"/>
    </row>
    <row r="723" ht="15.75" customHeight="1">
      <c r="N723" s="24"/>
      <c r="O723" s="25"/>
      <c r="P723" s="24"/>
    </row>
    <row r="724" ht="15.75" customHeight="1">
      <c r="N724" s="24"/>
      <c r="O724" s="25"/>
      <c r="P724" s="24"/>
    </row>
    <row r="725" ht="15.75" customHeight="1">
      <c r="N725" s="24"/>
      <c r="O725" s="25"/>
      <c r="P725" s="24"/>
    </row>
    <row r="726" ht="15.75" customHeight="1">
      <c r="N726" s="24"/>
      <c r="O726" s="25"/>
      <c r="P726" s="24"/>
    </row>
    <row r="727" ht="15.75" customHeight="1">
      <c r="N727" s="24"/>
      <c r="O727" s="25"/>
      <c r="P727" s="24"/>
    </row>
    <row r="728" ht="15.75" customHeight="1">
      <c r="N728" s="24"/>
      <c r="O728" s="25"/>
      <c r="P728" s="24"/>
    </row>
    <row r="729" ht="15.75" customHeight="1">
      <c r="N729" s="24"/>
      <c r="O729" s="25"/>
      <c r="P729" s="24"/>
    </row>
    <row r="730" ht="15.75" customHeight="1">
      <c r="N730" s="24"/>
      <c r="O730" s="25"/>
      <c r="P730" s="24"/>
    </row>
    <row r="731" ht="15.75" customHeight="1">
      <c r="N731" s="24"/>
      <c r="O731" s="25"/>
      <c r="P731" s="24"/>
    </row>
    <row r="732" ht="15.75" customHeight="1">
      <c r="N732" s="24"/>
      <c r="O732" s="25"/>
      <c r="P732" s="24"/>
    </row>
    <row r="733" ht="15.75" customHeight="1">
      <c r="N733" s="24"/>
      <c r="O733" s="25"/>
      <c r="P733" s="24"/>
    </row>
    <row r="734" ht="15.75" customHeight="1">
      <c r="N734" s="24"/>
      <c r="O734" s="25"/>
      <c r="P734" s="24"/>
    </row>
    <row r="735" ht="15.75" customHeight="1">
      <c r="N735" s="24"/>
      <c r="O735" s="25"/>
      <c r="P735" s="24"/>
    </row>
    <row r="736" ht="15.75" customHeight="1">
      <c r="N736" s="24"/>
      <c r="O736" s="25"/>
      <c r="P736" s="24"/>
    </row>
    <row r="737" ht="15.75" customHeight="1">
      <c r="N737" s="24"/>
      <c r="O737" s="25"/>
      <c r="P737" s="24"/>
    </row>
    <row r="738" ht="15.75" customHeight="1">
      <c r="N738" s="24"/>
      <c r="O738" s="25"/>
      <c r="P738" s="24"/>
    </row>
    <row r="739" ht="15.75" customHeight="1">
      <c r="N739" s="24"/>
      <c r="O739" s="25"/>
      <c r="P739" s="24"/>
    </row>
    <row r="740" ht="15.75" customHeight="1">
      <c r="N740" s="24"/>
      <c r="O740" s="25"/>
      <c r="P740" s="24"/>
    </row>
    <row r="741" ht="15.75" customHeight="1">
      <c r="N741" s="24"/>
      <c r="O741" s="25"/>
      <c r="P741" s="24"/>
    </row>
    <row r="742" ht="15.75" customHeight="1">
      <c r="N742" s="24"/>
      <c r="O742" s="25"/>
      <c r="P742" s="24"/>
    </row>
    <row r="743" ht="15.75" customHeight="1">
      <c r="N743" s="24"/>
      <c r="O743" s="25"/>
      <c r="P743" s="24"/>
    </row>
    <row r="744" ht="15.75" customHeight="1">
      <c r="N744" s="24"/>
      <c r="O744" s="25"/>
      <c r="P744" s="24"/>
    </row>
    <row r="745" ht="15.75" customHeight="1">
      <c r="N745" s="24"/>
      <c r="O745" s="25"/>
      <c r="P745" s="24"/>
    </row>
    <row r="746" ht="15.75" customHeight="1">
      <c r="N746" s="24"/>
      <c r="O746" s="25"/>
      <c r="P746" s="24"/>
    </row>
    <row r="747" ht="15.75" customHeight="1">
      <c r="N747" s="24"/>
      <c r="O747" s="25"/>
      <c r="P747" s="24"/>
    </row>
    <row r="748" ht="15.75" customHeight="1">
      <c r="N748" s="24"/>
      <c r="O748" s="25"/>
      <c r="P748" s="24"/>
    </row>
    <row r="749" ht="15.75" customHeight="1">
      <c r="N749" s="24"/>
      <c r="O749" s="25"/>
      <c r="P749" s="24"/>
    </row>
    <row r="750" ht="15.75" customHeight="1">
      <c r="N750" s="24"/>
      <c r="O750" s="25"/>
      <c r="P750" s="24"/>
    </row>
    <row r="751" ht="15.75" customHeight="1">
      <c r="N751" s="24"/>
      <c r="O751" s="25"/>
      <c r="P751" s="24"/>
    </row>
    <row r="752" ht="15.75" customHeight="1">
      <c r="N752" s="24"/>
      <c r="O752" s="25"/>
      <c r="P752" s="24"/>
    </row>
    <row r="753" ht="15.75" customHeight="1">
      <c r="N753" s="24"/>
      <c r="O753" s="25"/>
      <c r="P753" s="24"/>
    </row>
    <row r="754" ht="15.75" customHeight="1">
      <c r="N754" s="24"/>
      <c r="O754" s="25"/>
      <c r="P754" s="24"/>
    </row>
    <row r="755" ht="15.75" customHeight="1">
      <c r="N755" s="24"/>
      <c r="O755" s="25"/>
      <c r="P755" s="24"/>
    </row>
    <row r="756" ht="15.75" customHeight="1">
      <c r="N756" s="24"/>
      <c r="O756" s="25"/>
      <c r="P756" s="24"/>
    </row>
    <row r="757" ht="15.75" customHeight="1">
      <c r="N757" s="24"/>
      <c r="O757" s="25"/>
      <c r="P757" s="24"/>
    </row>
    <row r="758" ht="15.75" customHeight="1">
      <c r="N758" s="24"/>
      <c r="O758" s="25"/>
      <c r="P758" s="24"/>
    </row>
    <row r="759" ht="15.75" customHeight="1">
      <c r="N759" s="24"/>
      <c r="O759" s="25"/>
      <c r="P759" s="24"/>
    </row>
    <row r="760" ht="15.75" customHeight="1">
      <c r="N760" s="24"/>
      <c r="O760" s="25"/>
      <c r="P760" s="24"/>
    </row>
    <row r="761" ht="15.75" customHeight="1">
      <c r="N761" s="24"/>
      <c r="O761" s="25"/>
      <c r="P761" s="24"/>
    </row>
    <row r="762" ht="15.75" customHeight="1">
      <c r="N762" s="24"/>
      <c r="O762" s="25"/>
      <c r="P762" s="24"/>
    </row>
    <row r="763" ht="15.75" customHeight="1">
      <c r="N763" s="24"/>
      <c r="O763" s="25"/>
      <c r="P763" s="24"/>
    </row>
    <row r="764" ht="15.75" customHeight="1">
      <c r="N764" s="24"/>
      <c r="O764" s="25"/>
      <c r="P764" s="24"/>
    </row>
    <row r="765" ht="15.75" customHeight="1">
      <c r="N765" s="24"/>
      <c r="O765" s="25"/>
      <c r="P765" s="24"/>
    </row>
    <row r="766" ht="15.75" customHeight="1">
      <c r="N766" s="24"/>
      <c r="O766" s="25"/>
      <c r="P766" s="24"/>
    </row>
    <row r="767" ht="15.75" customHeight="1">
      <c r="N767" s="24"/>
      <c r="O767" s="25"/>
      <c r="P767" s="24"/>
    </row>
    <row r="768" ht="15.75" customHeight="1">
      <c r="N768" s="24"/>
      <c r="O768" s="25"/>
      <c r="P768" s="24"/>
    </row>
    <row r="769" ht="15.75" customHeight="1">
      <c r="N769" s="24"/>
      <c r="O769" s="25"/>
      <c r="P769" s="24"/>
    </row>
    <row r="770" ht="15.75" customHeight="1">
      <c r="N770" s="24"/>
      <c r="O770" s="25"/>
      <c r="P770" s="24"/>
    </row>
    <row r="771" ht="15.75" customHeight="1">
      <c r="N771" s="24"/>
      <c r="O771" s="25"/>
      <c r="P771" s="24"/>
    </row>
    <row r="772" ht="15.75" customHeight="1">
      <c r="N772" s="24"/>
      <c r="O772" s="25"/>
      <c r="P772" s="24"/>
    </row>
    <row r="773" ht="15.75" customHeight="1">
      <c r="N773" s="24"/>
      <c r="O773" s="25"/>
      <c r="P773" s="24"/>
    </row>
    <row r="774" ht="15.75" customHeight="1">
      <c r="N774" s="24"/>
      <c r="O774" s="25"/>
      <c r="P774" s="24"/>
    </row>
    <row r="775" ht="15.75" customHeight="1">
      <c r="N775" s="24"/>
      <c r="O775" s="25"/>
      <c r="P775" s="24"/>
    </row>
    <row r="776" ht="15.75" customHeight="1">
      <c r="N776" s="24"/>
      <c r="O776" s="25"/>
      <c r="P776" s="24"/>
    </row>
    <row r="777" ht="15.75" customHeight="1">
      <c r="N777" s="24"/>
      <c r="O777" s="25"/>
      <c r="P777" s="24"/>
    </row>
    <row r="778" ht="15.75" customHeight="1">
      <c r="N778" s="24"/>
      <c r="O778" s="25"/>
      <c r="P778" s="24"/>
    </row>
    <row r="779" ht="15.75" customHeight="1">
      <c r="N779" s="24"/>
      <c r="O779" s="25"/>
      <c r="P779" s="24"/>
    </row>
    <row r="780" ht="15.75" customHeight="1">
      <c r="N780" s="24"/>
      <c r="O780" s="25"/>
      <c r="P780" s="24"/>
    </row>
    <row r="781" ht="15.75" customHeight="1">
      <c r="N781" s="24"/>
      <c r="O781" s="25"/>
      <c r="P781" s="24"/>
    </row>
    <row r="782" ht="15.75" customHeight="1">
      <c r="N782" s="24"/>
      <c r="O782" s="25"/>
      <c r="P782" s="24"/>
    </row>
    <row r="783" ht="15.75" customHeight="1">
      <c r="N783" s="24"/>
      <c r="O783" s="25"/>
      <c r="P783" s="24"/>
    </row>
    <row r="784" ht="15.75" customHeight="1">
      <c r="N784" s="24"/>
      <c r="O784" s="25"/>
      <c r="P784" s="24"/>
    </row>
    <row r="785" ht="15.75" customHeight="1">
      <c r="N785" s="24"/>
      <c r="O785" s="25"/>
      <c r="P785" s="24"/>
    </row>
    <row r="786" ht="15.75" customHeight="1">
      <c r="N786" s="24"/>
      <c r="O786" s="25"/>
      <c r="P786" s="24"/>
    </row>
    <row r="787" ht="15.75" customHeight="1">
      <c r="N787" s="24"/>
      <c r="O787" s="25"/>
      <c r="P787" s="24"/>
    </row>
    <row r="788" ht="15.75" customHeight="1">
      <c r="N788" s="24"/>
      <c r="O788" s="25"/>
      <c r="P788" s="24"/>
    </row>
    <row r="789" ht="15.75" customHeight="1">
      <c r="N789" s="24"/>
      <c r="O789" s="25"/>
      <c r="P789" s="24"/>
    </row>
    <row r="790" ht="15.75" customHeight="1">
      <c r="N790" s="24"/>
      <c r="O790" s="25"/>
      <c r="P790" s="24"/>
    </row>
    <row r="791" ht="15.75" customHeight="1">
      <c r="N791" s="24"/>
      <c r="O791" s="25"/>
      <c r="P791" s="24"/>
    </row>
    <row r="792" ht="15.75" customHeight="1">
      <c r="N792" s="24"/>
      <c r="O792" s="25"/>
      <c r="P792" s="24"/>
    </row>
    <row r="793" ht="15.75" customHeight="1">
      <c r="N793" s="24"/>
      <c r="O793" s="25"/>
      <c r="P793" s="24"/>
    </row>
    <row r="794" ht="15.75" customHeight="1">
      <c r="N794" s="24"/>
      <c r="O794" s="25"/>
      <c r="P794" s="24"/>
    </row>
    <row r="795" ht="15.75" customHeight="1">
      <c r="N795" s="24"/>
      <c r="O795" s="25"/>
      <c r="P795" s="24"/>
    </row>
    <row r="796" ht="15.75" customHeight="1">
      <c r="N796" s="24"/>
      <c r="O796" s="25"/>
      <c r="P796" s="24"/>
    </row>
    <row r="797" ht="15.75" customHeight="1">
      <c r="N797" s="24"/>
      <c r="O797" s="25"/>
      <c r="P797" s="24"/>
    </row>
    <row r="798" ht="15.75" customHeight="1">
      <c r="N798" s="24"/>
      <c r="O798" s="25"/>
      <c r="P798" s="24"/>
    </row>
    <row r="799" ht="15.75" customHeight="1">
      <c r="N799" s="24"/>
      <c r="O799" s="25"/>
      <c r="P799" s="24"/>
    </row>
    <row r="800" ht="15.75" customHeight="1">
      <c r="N800" s="24"/>
      <c r="O800" s="25"/>
      <c r="P800" s="24"/>
    </row>
    <row r="801" ht="15.75" customHeight="1">
      <c r="N801" s="24"/>
      <c r="O801" s="25"/>
      <c r="P801" s="24"/>
    </row>
    <row r="802" ht="15.75" customHeight="1">
      <c r="N802" s="24"/>
      <c r="O802" s="25"/>
      <c r="P802" s="24"/>
    </row>
    <row r="803" ht="15.75" customHeight="1">
      <c r="N803" s="24"/>
      <c r="O803" s="25"/>
      <c r="P803" s="24"/>
    </row>
    <row r="804" ht="15.75" customHeight="1">
      <c r="N804" s="24"/>
      <c r="O804" s="25"/>
      <c r="P804" s="24"/>
    </row>
    <row r="805" ht="15.75" customHeight="1">
      <c r="N805" s="24"/>
      <c r="O805" s="25"/>
      <c r="P805" s="24"/>
    </row>
    <row r="806" ht="15.75" customHeight="1">
      <c r="N806" s="24"/>
      <c r="O806" s="25"/>
      <c r="P806" s="24"/>
    </row>
    <row r="807" ht="15.75" customHeight="1">
      <c r="N807" s="24"/>
      <c r="O807" s="25"/>
      <c r="P807" s="24"/>
    </row>
    <row r="808" ht="15.75" customHeight="1">
      <c r="N808" s="24"/>
      <c r="O808" s="25"/>
      <c r="P808" s="24"/>
    </row>
    <row r="809" ht="15.75" customHeight="1">
      <c r="N809" s="24"/>
      <c r="O809" s="25"/>
      <c r="P809" s="24"/>
    </row>
    <row r="810" ht="15.75" customHeight="1">
      <c r="N810" s="24"/>
      <c r="O810" s="25"/>
      <c r="P810" s="24"/>
    </row>
    <row r="811" ht="15.75" customHeight="1">
      <c r="N811" s="24"/>
      <c r="O811" s="25"/>
      <c r="P811" s="24"/>
    </row>
    <row r="812" ht="15.75" customHeight="1">
      <c r="N812" s="24"/>
      <c r="O812" s="25"/>
      <c r="P812" s="24"/>
    </row>
    <row r="813" ht="15.75" customHeight="1">
      <c r="N813" s="24"/>
      <c r="O813" s="25"/>
      <c r="P813" s="24"/>
    </row>
    <row r="814" ht="15.75" customHeight="1">
      <c r="N814" s="24"/>
      <c r="O814" s="25"/>
      <c r="P814" s="24"/>
    </row>
    <row r="815" ht="15.75" customHeight="1">
      <c r="N815" s="24"/>
      <c r="O815" s="25"/>
      <c r="P815" s="24"/>
    </row>
    <row r="816" ht="15.75" customHeight="1">
      <c r="N816" s="24"/>
      <c r="O816" s="25"/>
      <c r="P816" s="24"/>
    </row>
    <row r="817" ht="15.75" customHeight="1">
      <c r="N817" s="24"/>
      <c r="O817" s="25"/>
      <c r="P817" s="24"/>
    </row>
    <row r="818" ht="15.75" customHeight="1">
      <c r="N818" s="24"/>
      <c r="O818" s="25"/>
      <c r="P818" s="24"/>
    </row>
    <row r="819" ht="15.75" customHeight="1">
      <c r="N819" s="24"/>
      <c r="O819" s="25"/>
      <c r="P819" s="24"/>
    </row>
    <row r="820" ht="15.75" customHeight="1">
      <c r="N820" s="24"/>
      <c r="O820" s="25"/>
      <c r="P820" s="24"/>
    </row>
    <row r="821" ht="15.75" customHeight="1">
      <c r="N821" s="24"/>
      <c r="O821" s="25"/>
      <c r="P821" s="24"/>
    </row>
    <row r="822" ht="15.75" customHeight="1">
      <c r="N822" s="24"/>
      <c r="O822" s="25"/>
      <c r="P822" s="24"/>
    </row>
    <row r="823" ht="15.75" customHeight="1">
      <c r="N823" s="24"/>
      <c r="O823" s="25"/>
      <c r="P823" s="24"/>
    </row>
    <row r="824" ht="15.75" customHeight="1">
      <c r="N824" s="24"/>
      <c r="O824" s="25"/>
      <c r="P824" s="24"/>
    </row>
    <row r="825" ht="15.75" customHeight="1">
      <c r="N825" s="24"/>
      <c r="O825" s="25"/>
      <c r="P825" s="24"/>
    </row>
    <row r="826" ht="15.75" customHeight="1">
      <c r="N826" s="24"/>
      <c r="O826" s="25"/>
      <c r="P826" s="24"/>
    </row>
    <row r="827" ht="15.75" customHeight="1">
      <c r="N827" s="24"/>
      <c r="O827" s="25"/>
      <c r="P827" s="24"/>
    </row>
    <row r="828" ht="15.75" customHeight="1">
      <c r="N828" s="24"/>
      <c r="O828" s="25"/>
      <c r="P828" s="24"/>
    </row>
    <row r="829" ht="15.75" customHeight="1">
      <c r="N829" s="24"/>
      <c r="O829" s="25"/>
      <c r="P829" s="24"/>
    </row>
    <row r="830" ht="15.75" customHeight="1">
      <c r="N830" s="24"/>
      <c r="O830" s="25"/>
      <c r="P830" s="24"/>
    </row>
    <row r="831" ht="15.75" customHeight="1">
      <c r="N831" s="24"/>
      <c r="O831" s="25"/>
      <c r="P831" s="24"/>
    </row>
    <row r="832" ht="15.75" customHeight="1">
      <c r="N832" s="24"/>
      <c r="O832" s="25"/>
      <c r="P832" s="24"/>
    </row>
    <row r="833" ht="15.75" customHeight="1">
      <c r="N833" s="24"/>
      <c r="O833" s="25"/>
      <c r="P833" s="24"/>
    </row>
    <row r="834" ht="15.75" customHeight="1">
      <c r="N834" s="24"/>
      <c r="O834" s="25"/>
      <c r="P834" s="24"/>
    </row>
    <row r="835" ht="15.75" customHeight="1">
      <c r="N835" s="24"/>
      <c r="O835" s="25"/>
      <c r="P835" s="24"/>
    </row>
    <row r="836" ht="15.75" customHeight="1">
      <c r="N836" s="24"/>
      <c r="O836" s="25"/>
      <c r="P836" s="24"/>
    </row>
    <row r="837" ht="15.75" customHeight="1">
      <c r="N837" s="24"/>
      <c r="O837" s="25"/>
      <c r="P837" s="24"/>
    </row>
    <row r="838" ht="15.75" customHeight="1">
      <c r="N838" s="24"/>
      <c r="O838" s="25"/>
      <c r="P838" s="24"/>
    </row>
    <row r="839" ht="15.75" customHeight="1">
      <c r="N839" s="24"/>
      <c r="O839" s="25"/>
      <c r="P839" s="24"/>
    </row>
    <row r="840" ht="15.75" customHeight="1">
      <c r="N840" s="24"/>
      <c r="O840" s="25"/>
      <c r="P840" s="24"/>
    </row>
    <row r="841" ht="15.75" customHeight="1">
      <c r="N841" s="24"/>
      <c r="O841" s="25"/>
      <c r="P841" s="24"/>
    </row>
    <row r="842" ht="15.75" customHeight="1">
      <c r="N842" s="24"/>
      <c r="O842" s="25"/>
      <c r="P842" s="24"/>
    </row>
    <row r="843" ht="15.75" customHeight="1">
      <c r="N843" s="24"/>
      <c r="O843" s="25"/>
      <c r="P843" s="24"/>
    </row>
    <row r="844" ht="15.75" customHeight="1">
      <c r="N844" s="24"/>
      <c r="O844" s="25"/>
      <c r="P844" s="24"/>
    </row>
    <row r="845" ht="15.75" customHeight="1">
      <c r="N845" s="24"/>
      <c r="O845" s="25"/>
      <c r="P845" s="24"/>
    </row>
    <row r="846" ht="15.75" customHeight="1">
      <c r="N846" s="24"/>
      <c r="O846" s="25"/>
      <c r="P846" s="24"/>
    </row>
    <row r="847" ht="15.75" customHeight="1">
      <c r="N847" s="24"/>
      <c r="O847" s="25"/>
      <c r="P847" s="24"/>
    </row>
    <row r="848" ht="15.75" customHeight="1">
      <c r="N848" s="24"/>
      <c r="O848" s="25"/>
      <c r="P848" s="24"/>
    </row>
    <row r="849" ht="15.75" customHeight="1">
      <c r="N849" s="24"/>
      <c r="O849" s="25"/>
      <c r="P849" s="24"/>
    </row>
    <row r="850" ht="15.75" customHeight="1">
      <c r="N850" s="24"/>
      <c r="O850" s="25"/>
      <c r="P850" s="24"/>
    </row>
    <row r="851" ht="15.75" customHeight="1">
      <c r="N851" s="24"/>
      <c r="O851" s="25"/>
      <c r="P851" s="24"/>
    </row>
    <row r="852" ht="15.75" customHeight="1">
      <c r="N852" s="24"/>
      <c r="O852" s="25"/>
      <c r="P852" s="24"/>
    </row>
    <row r="853" ht="15.75" customHeight="1">
      <c r="N853" s="24"/>
      <c r="O853" s="25"/>
      <c r="P853" s="24"/>
    </row>
    <row r="854" ht="15.75" customHeight="1">
      <c r="N854" s="24"/>
      <c r="O854" s="25"/>
      <c r="P854" s="24"/>
    </row>
    <row r="855" ht="15.75" customHeight="1">
      <c r="N855" s="24"/>
      <c r="O855" s="25"/>
      <c r="P855" s="24"/>
    </row>
    <row r="856" ht="15.75" customHeight="1">
      <c r="N856" s="24"/>
      <c r="O856" s="25"/>
      <c r="P856" s="24"/>
    </row>
    <row r="857" ht="15.75" customHeight="1">
      <c r="N857" s="24"/>
      <c r="O857" s="25"/>
      <c r="P857" s="24"/>
    </row>
    <row r="858" ht="15.75" customHeight="1">
      <c r="N858" s="24"/>
      <c r="O858" s="25"/>
      <c r="P858" s="24"/>
    </row>
    <row r="859" ht="15.75" customHeight="1">
      <c r="N859" s="24"/>
      <c r="O859" s="25"/>
      <c r="P859" s="24"/>
    </row>
    <row r="860" ht="15.75" customHeight="1">
      <c r="N860" s="24"/>
      <c r="O860" s="25"/>
      <c r="P860" s="24"/>
    </row>
    <row r="861" ht="15.75" customHeight="1">
      <c r="N861" s="24"/>
      <c r="O861" s="25"/>
      <c r="P861" s="24"/>
    </row>
    <row r="862" ht="15.75" customHeight="1">
      <c r="N862" s="24"/>
      <c r="O862" s="25"/>
      <c r="P862" s="24"/>
    </row>
    <row r="863" ht="15.75" customHeight="1">
      <c r="N863" s="24"/>
      <c r="O863" s="25"/>
      <c r="P863" s="24"/>
    </row>
    <row r="864" ht="15.75" customHeight="1">
      <c r="N864" s="24"/>
      <c r="O864" s="25"/>
      <c r="P864" s="24"/>
    </row>
    <row r="865" ht="15.75" customHeight="1">
      <c r="N865" s="24"/>
      <c r="O865" s="25"/>
      <c r="P865" s="24"/>
    </row>
    <row r="866" ht="15.75" customHeight="1">
      <c r="N866" s="24"/>
      <c r="O866" s="25"/>
      <c r="P866" s="24"/>
    </row>
    <row r="867" ht="15.75" customHeight="1">
      <c r="N867" s="24"/>
      <c r="O867" s="25"/>
      <c r="P867" s="24"/>
    </row>
    <row r="868" ht="15.75" customHeight="1">
      <c r="N868" s="24"/>
      <c r="O868" s="25"/>
      <c r="P868" s="24"/>
    </row>
    <row r="869" ht="15.75" customHeight="1">
      <c r="N869" s="24"/>
      <c r="O869" s="25"/>
      <c r="P869" s="24"/>
    </row>
    <row r="870" ht="15.75" customHeight="1">
      <c r="N870" s="24"/>
      <c r="O870" s="25"/>
      <c r="P870" s="24"/>
    </row>
    <row r="871" ht="15.75" customHeight="1">
      <c r="N871" s="24"/>
      <c r="O871" s="25"/>
      <c r="P871" s="24"/>
    </row>
    <row r="872" ht="15.75" customHeight="1">
      <c r="N872" s="24"/>
      <c r="O872" s="25"/>
      <c r="P872" s="24"/>
    </row>
    <row r="873" ht="15.75" customHeight="1">
      <c r="N873" s="24"/>
      <c r="O873" s="25"/>
      <c r="P873" s="24"/>
    </row>
    <row r="874" ht="15.75" customHeight="1">
      <c r="N874" s="24"/>
      <c r="O874" s="25"/>
      <c r="P874" s="24"/>
    </row>
    <row r="875" ht="15.75" customHeight="1">
      <c r="N875" s="24"/>
      <c r="O875" s="25"/>
      <c r="P875" s="24"/>
    </row>
    <row r="876" ht="15.75" customHeight="1">
      <c r="N876" s="24"/>
      <c r="O876" s="25"/>
      <c r="P876" s="24"/>
    </row>
    <row r="877" ht="15.75" customHeight="1">
      <c r="N877" s="24"/>
      <c r="O877" s="25"/>
      <c r="P877" s="24"/>
    </row>
    <row r="878" ht="15.75" customHeight="1">
      <c r="N878" s="24"/>
      <c r="O878" s="25"/>
      <c r="P878" s="24"/>
    </row>
    <row r="879" ht="15.75" customHeight="1">
      <c r="N879" s="24"/>
      <c r="O879" s="25"/>
      <c r="P879" s="24"/>
    </row>
    <row r="880" ht="15.75" customHeight="1">
      <c r="N880" s="24"/>
      <c r="O880" s="25"/>
      <c r="P880" s="24"/>
    </row>
    <row r="881" ht="15.75" customHeight="1">
      <c r="N881" s="24"/>
      <c r="O881" s="25"/>
      <c r="P881" s="24"/>
    </row>
    <row r="882" ht="15.75" customHeight="1">
      <c r="N882" s="24"/>
      <c r="O882" s="25"/>
      <c r="P882" s="24"/>
    </row>
    <row r="883" ht="15.75" customHeight="1">
      <c r="N883" s="24"/>
      <c r="O883" s="25"/>
      <c r="P883" s="24"/>
    </row>
    <row r="884" ht="15.75" customHeight="1">
      <c r="N884" s="24"/>
      <c r="O884" s="25"/>
      <c r="P884" s="24"/>
    </row>
    <row r="885" ht="15.75" customHeight="1">
      <c r="N885" s="24"/>
      <c r="O885" s="25"/>
      <c r="P885" s="24"/>
    </row>
    <row r="886" ht="15.75" customHeight="1">
      <c r="N886" s="24"/>
      <c r="O886" s="25"/>
      <c r="P886" s="24"/>
    </row>
    <row r="887" ht="15.75" customHeight="1">
      <c r="N887" s="24"/>
      <c r="O887" s="25"/>
      <c r="P887" s="24"/>
    </row>
    <row r="888" ht="15.75" customHeight="1">
      <c r="N888" s="24"/>
      <c r="O888" s="25"/>
      <c r="P888" s="24"/>
    </row>
    <row r="889" ht="15.75" customHeight="1">
      <c r="N889" s="24"/>
      <c r="O889" s="25"/>
      <c r="P889" s="24"/>
    </row>
    <row r="890" ht="15.75" customHeight="1">
      <c r="N890" s="24"/>
      <c r="O890" s="25"/>
      <c r="P890" s="24"/>
    </row>
    <row r="891" ht="15.75" customHeight="1">
      <c r="N891" s="24"/>
      <c r="O891" s="25"/>
      <c r="P891" s="24"/>
    </row>
    <row r="892" ht="15.75" customHeight="1">
      <c r="N892" s="24"/>
      <c r="O892" s="25"/>
      <c r="P892" s="24"/>
    </row>
    <row r="893" ht="15.75" customHeight="1">
      <c r="N893" s="24"/>
      <c r="O893" s="25"/>
      <c r="P893" s="24"/>
    </row>
    <row r="894" ht="15.75" customHeight="1">
      <c r="N894" s="24"/>
      <c r="O894" s="25"/>
      <c r="P894" s="24"/>
    </row>
    <row r="895" ht="15.75" customHeight="1">
      <c r="N895" s="24"/>
      <c r="O895" s="25"/>
      <c r="P895" s="24"/>
    </row>
    <row r="896" ht="15.75" customHeight="1">
      <c r="N896" s="24"/>
      <c r="O896" s="25"/>
      <c r="P896" s="24"/>
    </row>
    <row r="897" ht="15.75" customHeight="1">
      <c r="N897" s="24"/>
      <c r="O897" s="25"/>
      <c r="P897" s="24"/>
    </row>
    <row r="898" ht="15.75" customHeight="1">
      <c r="N898" s="24"/>
      <c r="O898" s="25"/>
      <c r="P898" s="24"/>
    </row>
    <row r="899" ht="15.75" customHeight="1">
      <c r="N899" s="24"/>
      <c r="O899" s="25"/>
      <c r="P899" s="24"/>
    </row>
    <row r="900" ht="15.75" customHeight="1">
      <c r="N900" s="24"/>
      <c r="O900" s="25"/>
      <c r="P900" s="24"/>
    </row>
    <row r="901" ht="15.75" customHeight="1">
      <c r="N901" s="24"/>
      <c r="O901" s="25"/>
      <c r="P901" s="24"/>
    </row>
    <row r="902" ht="15.75" customHeight="1">
      <c r="N902" s="24"/>
      <c r="O902" s="25"/>
      <c r="P902" s="24"/>
    </row>
    <row r="903" ht="15.75" customHeight="1">
      <c r="N903" s="24"/>
      <c r="O903" s="25"/>
      <c r="P903" s="24"/>
    </row>
    <row r="904" ht="15.75" customHeight="1">
      <c r="N904" s="24"/>
      <c r="O904" s="25"/>
      <c r="P904" s="24"/>
    </row>
    <row r="905" ht="15.75" customHeight="1">
      <c r="N905" s="24"/>
      <c r="O905" s="25"/>
      <c r="P905" s="24"/>
    </row>
    <row r="906" ht="15.75" customHeight="1">
      <c r="N906" s="24"/>
      <c r="O906" s="25"/>
      <c r="P906" s="24"/>
    </row>
    <row r="907" ht="15.75" customHeight="1">
      <c r="N907" s="24"/>
      <c r="O907" s="25"/>
      <c r="P907" s="24"/>
    </row>
    <row r="908" ht="15.75" customHeight="1">
      <c r="N908" s="24"/>
      <c r="O908" s="25"/>
      <c r="P908" s="24"/>
    </row>
    <row r="909" ht="15.75" customHeight="1">
      <c r="N909" s="24"/>
      <c r="O909" s="25"/>
      <c r="P909" s="24"/>
    </row>
    <row r="910" ht="15.75" customHeight="1">
      <c r="N910" s="24"/>
      <c r="O910" s="25"/>
      <c r="P910" s="24"/>
    </row>
    <row r="911" ht="15.75" customHeight="1">
      <c r="N911" s="24"/>
      <c r="O911" s="25"/>
      <c r="P911" s="24"/>
    </row>
    <row r="912" ht="15.75" customHeight="1">
      <c r="N912" s="24"/>
      <c r="O912" s="25"/>
      <c r="P912" s="24"/>
    </row>
    <row r="913" ht="15.75" customHeight="1">
      <c r="N913" s="24"/>
      <c r="O913" s="25"/>
      <c r="P913" s="24"/>
    </row>
    <row r="914" ht="15.75" customHeight="1">
      <c r="N914" s="24"/>
      <c r="O914" s="25"/>
      <c r="P914" s="24"/>
    </row>
    <row r="915" ht="15.75" customHeight="1">
      <c r="N915" s="24"/>
      <c r="O915" s="25"/>
      <c r="P915" s="24"/>
    </row>
    <row r="916" ht="15.75" customHeight="1">
      <c r="N916" s="24"/>
      <c r="O916" s="25"/>
      <c r="P916" s="24"/>
    </row>
    <row r="917" ht="15.75" customHeight="1">
      <c r="N917" s="24"/>
      <c r="O917" s="25"/>
      <c r="P917" s="24"/>
    </row>
    <row r="918" ht="15.75" customHeight="1">
      <c r="N918" s="24"/>
      <c r="O918" s="25"/>
      <c r="P918" s="24"/>
    </row>
    <row r="919" ht="15.75" customHeight="1">
      <c r="N919" s="24"/>
      <c r="O919" s="25"/>
      <c r="P919" s="24"/>
    </row>
    <row r="920" ht="15.75" customHeight="1">
      <c r="N920" s="24"/>
      <c r="O920" s="25"/>
      <c r="P920" s="24"/>
    </row>
    <row r="921" ht="15.75" customHeight="1">
      <c r="N921" s="24"/>
      <c r="O921" s="25"/>
      <c r="P921" s="24"/>
    </row>
    <row r="922" ht="15.75" customHeight="1">
      <c r="N922" s="24"/>
      <c r="O922" s="25"/>
      <c r="P922" s="24"/>
    </row>
    <row r="923" ht="15.75" customHeight="1">
      <c r="N923" s="24"/>
      <c r="O923" s="25"/>
      <c r="P923" s="24"/>
    </row>
    <row r="924" ht="15.75" customHeight="1">
      <c r="N924" s="24"/>
      <c r="O924" s="25"/>
      <c r="P924" s="24"/>
    </row>
    <row r="925" ht="15.75" customHeight="1">
      <c r="N925" s="24"/>
      <c r="O925" s="25"/>
      <c r="P925" s="24"/>
    </row>
    <row r="926" ht="15.75" customHeight="1">
      <c r="N926" s="24"/>
      <c r="O926" s="25"/>
      <c r="P926" s="24"/>
    </row>
    <row r="927" ht="15.75" customHeight="1">
      <c r="N927" s="24"/>
      <c r="O927" s="25"/>
      <c r="P927" s="24"/>
    </row>
    <row r="928" ht="15.75" customHeight="1">
      <c r="N928" s="24"/>
      <c r="O928" s="25"/>
      <c r="P928" s="24"/>
    </row>
    <row r="929" ht="15.75" customHeight="1">
      <c r="N929" s="24"/>
      <c r="O929" s="25"/>
      <c r="P929" s="24"/>
    </row>
    <row r="930" ht="15.75" customHeight="1">
      <c r="N930" s="24"/>
      <c r="O930" s="25"/>
      <c r="P930" s="24"/>
    </row>
    <row r="931" ht="15.75" customHeight="1">
      <c r="N931" s="24"/>
      <c r="O931" s="25"/>
      <c r="P931" s="24"/>
    </row>
    <row r="932" ht="15.75" customHeight="1">
      <c r="N932" s="24"/>
      <c r="O932" s="25"/>
      <c r="P932" s="24"/>
    </row>
    <row r="933" ht="15.75" customHeight="1">
      <c r="N933" s="24"/>
      <c r="O933" s="25"/>
      <c r="P933" s="24"/>
    </row>
    <row r="934" ht="15.75" customHeight="1">
      <c r="N934" s="24"/>
      <c r="O934" s="25"/>
      <c r="P934" s="24"/>
    </row>
    <row r="935" ht="15.75" customHeight="1">
      <c r="N935" s="24"/>
      <c r="O935" s="25"/>
      <c r="P935" s="24"/>
    </row>
    <row r="936" ht="15.75" customHeight="1">
      <c r="N936" s="24"/>
      <c r="O936" s="25"/>
      <c r="P936" s="24"/>
    </row>
    <row r="937" ht="15.75" customHeight="1">
      <c r="N937" s="24"/>
      <c r="O937" s="25"/>
      <c r="P937" s="24"/>
    </row>
    <row r="938" ht="15.75" customHeight="1">
      <c r="N938" s="24"/>
      <c r="O938" s="25"/>
      <c r="P938" s="24"/>
    </row>
    <row r="939" ht="15.75" customHeight="1">
      <c r="N939" s="24"/>
      <c r="O939" s="25"/>
      <c r="P939" s="24"/>
    </row>
    <row r="940" ht="15.75" customHeight="1">
      <c r="N940" s="24"/>
      <c r="O940" s="25"/>
      <c r="P940" s="24"/>
    </row>
    <row r="941" ht="15.75" customHeight="1">
      <c r="N941" s="24"/>
      <c r="O941" s="25"/>
      <c r="P941" s="24"/>
    </row>
    <row r="942" ht="15.75" customHeight="1">
      <c r="N942" s="24"/>
      <c r="O942" s="25"/>
      <c r="P942" s="24"/>
    </row>
    <row r="943" ht="15.75" customHeight="1">
      <c r="N943" s="24"/>
      <c r="O943" s="25"/>
      <c r="P943" s="24"/>
    </row>
    <row r="944" ht="15.75" customHeight="1">
      <c r="N944" s="24"/>
      <c r="O944" s="25"/>
      <c r="P944" s="24"/>
    </row>
    <row r="945" ht="15.75" customHeight="1">
      <c r="N945" s="24"/>
      <c r="O945" s="25"/>
      <c r="P945" s="24"/>
    </row>
    <row r="946" ht="15.75" customHeight="1">
      <c r="N946" s="24"/>
      <c r="O946" s="25"/>
      <c r="P946" s="24"/>
    </row>
    <row r="947" ht="15.75" customHeight="1">
      <c r="N947" s="24"/>
      <c r="O947" s="25"/>
      <c r="P947" s="24"/>
    </row>
    <row r="948" ht="15.75" customHeight="1">
      <c r="N948" s="24"/>
      <c r="O948" s="25"/>
      <c r="P948" s="24"/>
    </row>
    <row r="949" ht="15.75" customHeight="1">
      <c r="N949" s="24"/>
      <c r="O949" s="25"/>
      <c r="P949" s="24"/>
    </row>
    <row r="950" ht="15.75" customHeight="1">
      <c r="N950" s="24"/>
      <c r="O950" s="25"/>
      <c r="P950" s="24"/>
    </row>
    <row r="951" ht="15.75" customHeight="1">
      <c r="N951" s="24"/>
      <c r="O951" s="25"/>
      <c r="P951" s="24"/>
    </row>
    <row r="952" ht="15.75" customHeight="1">
      <c r="N952" s="24"/>
      <c r="O952" s="25"/>
      <c r="P952" s="24"/>
    </row>
    <row r="953" ht="15.75" customHeight="1">
      <c r="N953" s="24"/>
      <c r="O953" s="25"/>
      <c r="P953" s="24"/>
    </row>
    <row r="954" ht="15.75" customHeight="1">
      <c r="N954" s="24"/>
      <c r="O954" s="25"/>
      <c r="P954" s="24"/>
    </row>
    <row r="955" ht="15.75" customHeight="1">
      <c r="N955" s="24"/>
      <c r="O955" s="25"/>
      <c r="P955" s="24"/>
    </row>
    <row r="956" ht="15.75" customHeight="1">
      <c r="N956" s="24"/>
      <c r="O956" s="25"/>
      <c r="P956" s="24"/>
    </row>
    <row r="957" ht="15.75" customHeight="1">
      <c r="N957" s="24"/>
      <c r="O957" s="25"/>
      <c r="P957" s="24"/>
    </row>
    <row r="958" ht="15.75" customHeight="1">
      <c r="N958" s="24"/>
      <c r="O958" s="25"/>
      <c r="P958" s="24"/>
    </row>
    <row r="959" ht="15.75" customHeight="1">
      <c r="N959" s="24"/>
      <c r="O959" s="25"/>
      <c r="P959" s="24"/>
    </row>
    <row r="960" ht="15.75" customHeight="1">
      <c r="N960" s="24"/>
      <c r="O960" s="25"/>
      <c r="P960" s="24"/>
    </row>
    <row r="961" ht="15.75" customHeight="1">
      <c r="N961" s="24"/>
      <c r="O961" s="25"/>
      <c r="P961" s="24"/>
    </row>
    <row r="962" ht="15.75" customHeight="1">
      <c r="N962" s="24"/>
      <c r="O962" s="25"/>
      <c r="P962" s="24"/>
    </row>
    <row r="963" ht="15.75" customHeight="1">
      <c r="N963" s="24"/>
      <c r="O963" s="25"/>
      <c r="P963" s="24"/>
    </row>
    <row r="964" ht="15.75" customHeight="1">
      <c r="N964" s="24"/>
      <c r="O964" s="25"/>
      <c r="P964" s="24"/>
    </row>
    <row r="965" ht="15.75" customHeight="1">
      <c r="N965" s="24"/>
      <c r="O965" s="25"/>
      <c r="P965" s="24"/>
    </row>
    <row r="966" ht="15.75" customHeight="1">
      <c r="N966" s="24"/>
      <c r="O966" s="25"/>
      <c r="P966" s="24"/>
    </row>
    <row r="967" ht="15.75" customHeight="1">
      <c r="N967" s="24"/>
      <c r="O967" s="25"/>
      <c r="P967" s="24"/>
    </row>
    <row r="968" ht="15.75" customHeight="1">
      <c r="N968" s="24"/>
      <c r="O968" s="25"/>
      <c r="P968" s="24"/>
    </row>
    <row r="969" ht="15.75" customHeight="1">
      <c r="N969" s="24"/>
      <c r="O969" s="25"/>
      <c r="P969" s="24"/>
    </row>
    <row r="970" ht="15.75" customHeight="1">
      <c r="N970" s="24"/>
      <c r="O970" s="25"/>
      <c r="P970" s="24"/>
    </row>
    <row r="971" ht="15.75" customHeight="1">
      <c r="N971" s="24"/>
      <c r="O971" s="25"/>
      <c r="P971" s="24"/>
    </row>
    <row r="972" ht="15.75" customHeight="1">
      <c r="N972" s="24"/>
      <c r="O972" s="25"/>
      <c r="P972" s="24"/>
    </row>
    <row r="973" ht="15.75" customHeight="1">
      <c r="N973" s="24"/>
      <c r="O973" s="25"/>
      <c r="P973" s="24"/>
    </row>
    <row r="974" ht="15.75" customHeight="1">
      <c r="N974" s="24"/>
      <c r="O974" s="25"/>
      <c r="P974" s="24"/>
    </row>
    <row r="975" ht="15.75" customHeight="1">
      <c r="N975" s="24"/>
      <c r="O975" s="25"/>
      <c r="P975" s="24"/>
    </row>
    <row r="976" ht="15.75" customHeight="1">
      <c r="N976" s="24"/>
      <c r="O976" s="25"/>
      <c r="P976" s="24"/>
    </row>
    <row r="977" ht="15.75" customHeight="1">
      <c r="N977" s="24"/>
      <c r="O977" s="25"/>
      <c r="P977" s="24"/>
    </row>
    <row r="978" ht="15.75" customHeight="1">
      <c r="N978" s="24"/>
      <c r="O978" s="25"/>
      <c r="P978" s="24"/>
    </row>
    <row r="979" ht="15.75" customHeight="1">
      <c r="N979" s="24"/>
      <c r="O979" s="25"/>
      <c r="P979" s="24"/>
    </row>
    <row r="980" ht="15.75" customHeight="1">
      <c r="N980" s="24"/>
      <c r="O980" s="25"/>
      <c r="P980" s="24"/>
    </row>
    <row r="981" ht="15.75" customHeight="1">
      <c r="N981" s="24"/>
      <c r="O981" s="25"/>
      <c r="P981" s="24"/>
    </row>
    <row r="982" ht="15.75" customHeight="1">
      <c r="N982" s="24"/>
      <c r="O982" s="25"/>
      <c r="P982" s="24"/>
    </row>
    <row r="983" ht="15.75" customHeight="1">
      <c r="N983" s="24"/>
      <c r="O983" s="25"/>
      <c r="P983" s="24"/>
    </row>
    <row r="984" ht="15.75" customHeight="1">
      <c r="N984" s="24"/>
      <c r="O984" s="25"/>
      <c r="P984" s="24"/>
    </row>
    <row r="985" ht="15.75" customHeight="1">
      <c r="N985" s="24"/>
      <c r="O985" s="25"/>
      <c r="P985" s="24"/>
    </row>
    <row r="986" ht="15.75" customHeight="1">
      <c r="N986" s="24"/>
      <c r="O986" s="25"/>
      <c r="P986" s="24"/>
    </row>
    <row r="987" ht="15.75" customHeight="1">
      <c r="N987" s="24"/>
      <c r="O987" s="25"/>
      <c r="P987" s="24"/>
    </row>
    <row r="988" ht="15.75" customHeight="1">
      <c r="N988" s="24"/>
      <c r="O988" s="25"/>
      <c r="P988" s="24"/>
    </row>
    <row r="989" ht="15.75" customHeight="1">
      <c r="N989" s="24"/>
      <c r="O989" s="25"/>
      <c r="P989" s="24"/>
    </row>
    <row r="990" ht="15.75" customHeight="1">
      <c r="N990" s="24"/>
      <c r="O990" s="25"/>
      <c r="P990" s="24"/>
    </row>
    <row r="991" ht="15.75" customHeight="1">
      <c r="N991" s="24"/>
      <c r="O991" s="25"/>
      <c r="P991" s="24"/>
    </row>
    <row r="992" ht="15.75" customHeight="1">
      <c r="N992" s="24"/>
      <c r="O992" s="25"/>
      <c r="P992" s="24"/>
    </row>
    <row r="993" ht="15.75" customHeight="1">
      <c r="N993" s="24"/>
      <c r="O993" s="25"/>
      <c r="P993" s="24"/>
    </row>
    <row r="994" ht="15.75" customHeight="1">
      <c r="N994" s="24"/>
      <c r="O994" s="25"/>
      <c r="P994" s="24"/>
    </row>
    <row r="995" ht="15.75" customHeight="1">
      <c r="N995" s="24"/>
      <c r="O995" s="25"/>
      <c r="P995" s="24"/>
    </row>
    <row r="996" ht="15.75" customHeight="1">
      <c r="N996" s="24"/>
      <c r="O996" s="25"/>
      <c r="P996" s="24"/>
    </row>
    <row r="997" ht="15.75" customHeight="1">
      <c r="N997" s="24"/>
      <c r="O997" s="25"/>
      <c r="P997" s="24"/>
    </row>
    <row r="998" ht="15.75" customHeight="1">
      <c r="N998" s="24"/>
      <c r="O998" s="25"/>
      <c r="P998" s="24"/>
    </row>
    <row r="999" ht="15.75" customHeight="1">
      <c r="N999" s="24"/>
      <c r="O999" s="25"/>
      <c r="P999" s="24"/>
    </row>
    <row r="1000" ht="15.75" customHeight="1">
      <c r="N1000" s="24"/>
      <c r="O1000" s="25"/>
      <c r="P1000" s="24"/>
    </row>
  </sheetData>
  <printOptions/>
  <pageMargins bottom="0.787401575" footer="0.0" header="0.0" left="0.511811024" right="0.511811024" top="0.7874015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2.5"/>
    <col customWidth="1" min="2" max="2" width="28.0"/>
    <col customWidth="1" min="3" max="3" width="22.38"/>
    <col customWidth="1" min="4" max="4" width="17.25"/>
    <col customWidth="1" min="5" max="5" width="22.38"/>
  </cols>
  <sheetData>
    <row r="1">
      <c r="E1" s="3" t="s">
        <v>316</v>
      </c>
      <c r="F1" s="3" t="s">
        <v>15</v>
      </c>
      <c r="G1" s="3"/>
      <c r="H1" s="3"/>
    </row>
    <row r="2">
      <c r="A2" s="3" t="s">
        <v>17</v>
      </c>
      <c r="B2" s="3" t="s">
        <v>317</v>
      </c>
      <c r="C2" s="3" t="s">
        <v>318</v>
      </c>
      <c r="E2" s="3" t="s">
        <v>17</v>
      </c>
      <c r="F2" s="3" t="s">
        <v>34</v>
      </c>
      <c r="G2" s="3" t="s">
        <v>30</v>
      </c>
      <c r="H2" s="3" t="s">
        <v>319</v>
      </c>
    </row>
    <row r="3">
      <c r="A3" s="3" t="s">
        <v>35</v>
      </c>
      <c r="B3" s="26">
        <v>0.23509369676320271</v>
      </c>
      <c r="C3" s="26">
        <v>0.22580645161290322</v>
      </c>
      <c r="E3" s="3" t="s">
        <v>35</v>
      </c>
      <c r="F3" s="27">
        <v>19.727272727272727</v>
      </c>
      <c r="G3" s="27">
        <v>25.616666666666667</v>
      </c>
      <c r="H3" s="27">
        <v>24.704225352112676</v>
      </c>
    </row>
    <row r="4">
      <c r="A4" s="3" t="s">
        <v>31</v>
      </c>
      <c r="B4" s="26">
        <v>0.46678023850085176</v>
      </c>
      <c r="C4" s="26">
        <v>0.46187683284457476</v>
      </c>
      <c r="E4" s="3" t="s">
        <v>31</v>
      </c>
      <c r="F4" s="27">
        <v>25.44144144144144</v>
      </c>
      <c r="G4" s="27">
        <v>26.678571428571427</v>
      </c>
      <c r="H4" s="27">
        <v>25.690647482014388</v>
      </c>
    </row>
    <row r="5">
      <c r="A5" s="3" t="s">
        <v>38</v>
      </c>
      <c r="B5" s="26">
        <v>0.2981260647359455</v>
      </c>
      <c r="C5" s="26">
        <v>0.312316715542522</v>
      </c>
      <c r="E5" s="3" t="s">
        <v>38</v>
      </c>
      <c r="F5" s="27">
        <v>32.24</v>
      </c>
      <c r="G5" s="27">
        <v>25.033333333333335</v>
      </c>
      <c r="H5" s="27">
        <v>27.152941176470588</v>
      </c>
    </row>
    <row r="6">
      <c r="A6" s="3" t="s">
        <v>319</v>
      </c>
      <c r="B6" s="26">
        <v>1.0</v>
      </c>
      <c r="C6" s="26">
        <v>1.0</v>
      </c>
      <c r="E6" s="3" t="s">
        <v>319</v>
      </c>
      <c r="F6" s="27">
        <v>26.170068027210885</v>
      </c>
      <c r="G6" s="27">
        <v>25.58108108108108</v>
      </c>
      <c r="H6" s="27">
        <v>25.87457627118644</v>
      </c>
    </row>
    <row r="31">
      <c r="A31" s="25" t="s">
        <v>26</v>
      </c>
      <c r="B31" s="3" t="s">
        <v>320</v>
      </c>
      <c r="C31" s="3" t="s">
        <v>321</v>
      </c>
    </row>
    <row r="32">
      <c r="A32" s="3" t="s">
        <v>322</v>
      </c>
      <c r="B32" s="27">
        <v>30.237704918032787</v>
      </c>
      <c r="C32" s="27">
        <v>7378.0</v>
      </c>
    </row>
    <row r="33">
      <c r="A33" s="3" t="s">
        <v>323</v>
      </c>
      <c r="B33" s="27">
        <v>5.0</v>
      </c>
      <c r="C33" s="27">
        <v>255.0</v>
      </c>
    </row>
    <row r="34">
      <c r="A34" s="3" t="s">
        <v>319</v>
      </c>
      <c r="B34" s="27">
        <v>25.87457627118644</v>
      </c>
      <c r="C34" s="27">
        <v>7633.0</v>
      </c>
    </row>
    <row r="54">
      <c r="A54" s="3" t="s">
        <v>316</v>
      </c>
      <c r="B54" s="3" t="s">
        <v>15</v>
      </c>
      <c r="C54" s="3"/>
      <c r="D54" s="3"/>
    </row>
    <row r="55">
      <c r="A55" s="3" t="s">
        <v>17</v>
      </c>
      <c r="B55" s="3" t="s">
        <v>34</v>
      </c>
      <c r="C55" s="3" t="s">
        <v>30</v>
      </c>
      <c r="D55" s="3" t="s">
        <v>319</v>
      </c>
    </row>
    <row r="56">
      <c r="A56" s="3" t="s">
        <v>38</v>
      </c>
      <c r="B56" s="27">
        <v>32.24</v>
      </c>
      <c r="C56" s="27">
        <v>25.033333333333335</v>
      </c>
      <c r="D56" s="27">
        <v>27.152941176470588</v>
      </c>
    </row>
    <row r="57">
      <c r="A57" s="3" t="s">
        <v>31</v>
      </c>
      <c r="B57" s="27">
        <v>25.44144144144144</v>
      </c>
      <c r="C57" s="27">
        <v>26.678571428571427</v>
      </c>
      <c r="D57" s="27">
        <v>25.690647482014388</v>
      </c>
    </row>
    <row r="58">
      <c r="A58" s="3" t="s">
        <v>35</v>
      </c>
      <c r="B58" s="27">
        <v>19.727272727272727</v>
      </c>
      <c r="C58" s="27">
        <v>25.616666666666667</v>
      </c>
      <c r="D58" s="27">
        <v>24.704225352112676</v>
      </c>
    </row>
    <row r="59">
      <c r="A59" s="3" t="s">
        <v>319</v>
      </c>
      <c r="B59" s="27">
        <v>26.170068027210885</v>
      </c>
      <c r="C59" s="27">
        <v>25.58108108108108</v>
      </c>
      <c r="D59" s="27">
        <v>25.87457627118644</v>
      </c>
    </row>
    <row r="66">
      <c r="A66" s="3" t="s">
        <v>17</v>
      </c>
      <c r="B66" s="3" t="s">
        <v>324</v>
      </c>
    </row>
    <row r="67">
      <c r="A67" s="3" t="s">
        <v>38</v>
      </c>
      <c r="B67" s="27">
        <v>2308.0</v>
      </c>
    </row>
    <row r="68">
      <c r="A68" s="3" t="s">
        <v>31</v>
      </c>
      <c r="B68" s="27">
        <v>3571.0</v>
      </c>
    </row>
    <row r="69">
      <c r="A69" s="3" t="s">
        <v>35</v>
      </c>
      <c r="B69" s="27">
        <v>1754.0</v>
      </c>
    </row>
    <row r="70">
      <c r="A70" s="3" t="s">
        <v>319</v>
      </c>
      <c r="B70" s="27">
        <v>7633.0</v>
      </c>
      <c r="C70" s="27">
        <f>B70</f>
        <v>7633</v>
      </c>
    </row>
    <row r="73">
      <c r="A73" s="3" t="s">
        <v>13</v>
      </c>
      <c r="B73" s="3" t="s">
        <v>325</v>
      </c>
    </row>
    <row r="74">
      <c r="A74" s="3" t="s">
        <v>33</v>
      </c>
      <c r="B74" s="3">
        <v>101.0</v>
      </c>
      <c r="C74" s="3">
        <f t="shared" ref="C74:C77" si="1">B74</f>
        <v>101</v>
      </c>
    </row>
    <row r="75">
      <c r="A75" s="3" t="s">
        <v>37</v>
      </c>
      <c r="B75" s="3">
        <v>96.0</v>
      </c>
      <c r="C75" s="3">
        <f t="shared" si="1"/>
        <v>96</v>
      </c>
    </row>
    <row r="76">
      <c r="A76" s="3" t="s">
        <v>29</v>
      </c>
      <c r="B76" s="3">
        <v>98.0</v>
      </c>
      <c r="C76" s="3">
        <f t="shared" si="1"/>
        <v>98</v>
      </c>
    </row>
    <row r="77">
      <c r="A77" s="3" t="s">
        <v>319</v>
      </c>
      <c r="B77" s="3">
        <v>295.0</v>
      </c>
      <c r="C77" s="3">
        <f t="shared" si="1"/>
        <v>295</v>
      </c>
    </row>
    <row r="81">
      <c r="A81" s="3" t="s">
        <v>13</v>
      </c>
      <c r="B81" s="3" t="s">
        <v>324</v>
      </c>
    </row>
    <row r="82">
      <c r="A82" s="3" t="s">
        <v>33</v>
      </c>
      <c r="B82" s="27">
        <v>444.0</v>
      </c>
    </row>
    <row r="83">
      <c r="A83" s="3" t="s">
        <v>37</v>
      </c>
      <c r="B83" s="27">
        <v>1801.0</v>
      </c>
    </row>
    <row r="84">
      <c r="A84" s="3" t="s">
        <v>29</v>
      </c>
      <c r="B84" s="27">
        <v>5388.0</v>
      </c>
    </row>
    <row r="85">
      <c r="A85" s="3" t="s">
        <v>319</v>
      </c>
      <c r="B85" s="27">
        <v>7633.0</v>
      </c>
      <c r="C85" s="27">
        <f>B85</f>
        <v>7633</v>
      </c>
    </row>
  </sheetData>
  <customSheetViews>
    <customSheetView guid="{4ACE90F1-FD6A-4EE0-A76D-B6E331834E3A}" filter="1" showAutoFilter="1">
      <autoFilter ref="$A$2:$H$6"/>
    </customSheetView>
    <customSheetView guid="{4ACE90F1-FD6A-4EE0-A76D-B6E331834E3A}" filter="1" showAutoFilter="1">
      <autoFilter ref="$A$2:$H$6"/>
    </customSheetView>
  </customSheetViews>
  <drawing r:id="rId1"/>
  <tableParts count="1">
    <tablePart r:id="rId3"/>
  </tableParts>
  <extLst>
    <ext uri="{3A4CF648-6AED-40f4-86FF-DC5316D8AED3}">
      <x14:slicerList>
        <x14:slicer r:id="rId4"/>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showGridLines="0" workbookViewId="0"/>
  </sheetViews>
  <sheetFormatPr customHeight="1" defaultColWidth="12.63" defaultRowHeight="15.0"/>
  <cols>
    <col customWidth="1" min="1" max="2" width="8.63"/>
    <col customWidth="1" min="3" max="3" width="18.38"/>
    <col customWidth="1" min="4" max="4" width="30.63"/>
    <col customWidth="1" min="5" max="5" width="6.25"/>
    <col customWidth="1" min="6" max="6" width="19.13"/>
    <col customWidth="1" min="7" max="26" width="8.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38"/>
    <col customWidth="1" min="3" max="3" width="9.75"/>
    <col customWidth="1" min="4" max="17" width="8.63"/>
    <col customWidth="1" min="18" max="18" width="3.38"/>
  </cols>
  <sheetData>
    <row r="1">
      <c r="A1" s="28"/>
    </row>
    <row r="2" ht="39.0" customHeight="1">
      <c r="A2" s="28"/>
      <c r="B2" s="29" t="s">
        <v>326</v>
      </c>
      <c r="C2" s="30"/>
      <c r="D2" s="30"/>
      <c r="E2" s="30"/>
      <c r="F2" s="30"/>
      <c r="G2" s="30"/>
      <c r="H2" s="30"/>
      <c r="I2" s="30"/>
      <c r="J2" s="30"/>
      <c r="K2" s="30"/>
      <c r="L2" s="30"/>
      <c r="M2" s="30"/>
      <c r="N2" s="30"/>
      <c r="O2" s="30"/>
      <c r="P2" s="30"/>
      <c r="Q2" s="30"/>
      <c r="R2" s="30"/>
    </row>
    <row r="3" ht="8.25" customHeight="1">
      <c r="A3" s="28"/>
    </row>
    <row r="4" ht="7.5" customHeight="1">
      <c r="A4" s="28"/>
      <c r="B4" s="31"/>
      <c r="C4" s="31"/>
      <c r="D4" s="31"/>
      <c r="E4" s="31"/>
      <c r="F4" s="31"/>
      <c r="G4" s="31"/>
      <c r="H4" s="31"/>
      <c r="I4" s="31"/>
      <c r="J4" s="31"/>
      <c r="K4" s="31"/>
      <c r="L4" s="31"/>
      <c r="M4" s="31"/>
      <c r="N4" s="31"/>
      <c r="O4" s="31"/>
      <c r="P4" s="31"/>
      <c r="Q4" s="31"/>
      <c r="R4" s="31"/>
    </row>
    <row r="5" ht="10.5" customHeight="1">
      <c r="A5" s="28"/>
      <c r="B5" s="31"/>
      <c r="C5" s="31"/>
      <c r="D5" s="31"/>
      <c r="E5" s="31"/>
      <c r="F5" s="31"/>
      <c r="G5" s="31"/>
      <c r="H5" s="31"/>
      <c r="I5" s="31"/>
      <c r="J5" s="31"/>
      <c r="K5" s="31"/>
      <c r="L5" s="31"/>
      <c r="M5" s="31"/>
      <c r="N5" s="31"/>
      <c r="O5" s="31"/>
      <c r="P5" s="31"/>
      <c r="Q5" s="31"/>
      <c r="R5" s="31"/>
    </row>
    <row r="6" ht="9.75" customHeight="1">
      <c r="A6" s="28"/>
      <c r="B6" s="31"/>
      <c r="C6" s="31"/>
      <c r="D6" s="31"/>
      <c r="E6" s="31"/>
      <c r="F6" s="31"/>
      <c r="G6" s="31"/>
      <c r="H6" s="31"/>
      <c r="I6" s="31"/>
      <c r="J6" s="31"/>
      <c r="K6" s="31"/>
      <c r="L6" s="31"/>
      <c r="M6" s="31"/>
      <c r="N6" s="31"/>
      <c r="O6" s="31"/>
      <c r="P6" s="31"/>
      <c r="Q6" s="31"/>
      <c r="R6" s="31"/>
    </row>
    <row r="7" ht="9.75" customHeight="1">
      <c r="A7" s="28"/>
      <c r="B7" s="31"/>
      <c r="C7" s="31"/>
      <c r="D7" s="31"/>
      <c r="E7" s="31"/>
      <c r="F7" s="31"/>
      <c r="G7" s="31"/>
      <c r="H7" s="31"/>
      <c r="I7" s="31"/>
      <c r="J7" s="31"/>
      <c r="K7" s="31"/>
      <c r="L7" s="31"/>
      <c r="M7" s="31"/>
      <c r="N7" s="31"/>
      <c r="O7" s="31"/>
      <c r="P7" s="31"/>
      <c r="Q7" s="31"/>
      <c r="R7" s="31"/>
    </row>
    <row r="8" ht="9.75" customHeight="1">
      <c r="A8" s="28"/>
      <c r="B8" s="31"/>
      <c r="C8" s="31"/>
      <c r="D8" s="31"/>
      <c r="E8" s="31"/>
      <c r="F8" s="31"/>
      <c r="G8" s="32">
        <f>'Tabela dinâmica 1'!C77</f>
        <v>295</v>
      </c>
      <c r="I8" s="31"/>
      <c r="J8" s="33">
        <f>'Tabela dinâmica 1'!C85</f>
        <v>7633</v>
      </c>
      <c r="M8" s="31"/>
      <c r="N8" s="31"/>
      <c r="O8" s="31"/>
      <c r="P8" s="31"/>
      <c r="Q8" s="31"/>
      <c r="R8" s="31"/>
    </row>
    <row r="9" ht="33.0" customHeight="1">
      <c r="A9" s="28"/>
      <c r="B9" s="31"/>
      <c r="C9" s="31"/>
      <c r="D9" s="31"/>
      <c r="E9" s="31"/>
      <c r="F9" s="31"/>
      <c r="I9" s="31"/>
      <c r="M9" s="31"/>
      <c r="N9" s="31"/>
      <c r="O9" s="31"/>
      <c r="P9" s="31"/>
      <c r="Q9" s="31"/>
      <c r="R9" s="31"/>
    </row>
    <row r="10">
      <c r="A10" s="28"/>
      <c r="B10" s="34"/>
      <c r="C10" s="31"/>
      <c r="D10" s="31"/>
      <c r="E10" s="31"/>
      <c r="F10" s="31"/>
      <c r="G10" s="35" t="s">
        <v>327</v>
      </c>
      <c r="I10" s="31"/>
      <c r="J10" s="31"/>
      <c r="K10" s="35" t="s">
        <v>328</v>
      </c>
      <c r="L10" s="31"/>
      <c r="M10" s="31"/>
      <c r="N10" s="31"/>
      <c r="O10" s="31"/>
      <c r="P10" s="31"/>
      <c r="Q10" s="31"/>
      <c r="R10" s="31"/>
    </row>
    <row r="11">
      <c r="A11" s="28"/>
      <c r="B11" s="31"/>
      <c r="C11" s="31"/>
      <c r="D11" s="31"/>
      <c r="E11" s="31"/>
      <c r="F11" s="31"/>
      <c r="G11" s="31"/>
      <c r="H11" s="31"/>
      <c r="I11" s="31"/>
      <c r="J11" s="31"/>
      <c r="K11" s="31"/>
      <c r="L11" s="31"/>
      <c r="M11" s="31"/>
      <c r="N11" s="31"/>
      <c r="O11" s="31"/>
      <c r="P11" s="31"/>
      <c r="Q11" s="31"/>
      <c r="R11" s="31"/>
    </row>
    <row r="12">
      <c r="A12" s="28"/>
      <c r="B12" s="31"/>
      <c r="C12" s="31"/>
      <c r="D12" s="31"/>
      <c r="E12" s="31"/>
      <c r="F12" s="31"/>
      <c r="G12" s="31"/>
      <c r="H12" s="31"/>
      <c r="I12" s="31"/>
      <c r="J12" s="31"/>
      <c r="K12" s="31"/>
      <c r="L12" s="31"/>
      <c r="M12" s="31"/>
      <c r="N12" s="31"/>
      <c r="O12" s="31"/>
      <c r="P12" s="31"/>
      <c r="Q12" s="31"/>
      <c r="R12" s="31"/>
    </row>
    <row r="13">
      <c r="A13" s="28"/>
      <c r="B13" s="31"/>
      <c r="C13" s="31"/>
      <c r="D13" s="31"/>
      <c r="E13" s="31"/>
      <c r="F13" s="31"/>
      <c r="G13" s="31"/>
      <c r="H13" s="31"/>
      <c r="I13" s="36"/>
      <c r="J13" s="31"/>
      <c r="K13" s="31"/>
      <c r="L13" s="31"/>
      <c r="M13" s="31"/>
      <c r="N13" s="31"/>
      <c r="O13" s="31"/>
      <c r="P13" s="31"/>
      <c r="Q13" s="31"/>
      <c r="R13" s="31"/>
    </row>
    <row r="14">
      <c r="A14" s="28"/>
      <c r="B14" s="31"/>
      <c r="C14" s="31"/>
      <c r="D14" s="31"/>
      <c r="E14" s="31"/>
      <c r="F14" s="31"/>
      <c r="G14" s="31"/>
      <c r="H14" s="31"/>
      <c r="I14" s="31"/>
      <c r="J14" s="31"/>
      <c r="K14" s="31"/>
      <c r="L14" s="31"/>
      <c r="M14" s="31"/>
      <c r="N14" s="31"/>
      <c r="O14" s="31"/>
      <c r="P14" s="31"/>
      <c r="Q14" s="31"/>
      <c r="R14" s="31"/>
    </row>
    <row r="15">
      <c r="A15" s="28"/>
      <c r="B15" s="31"/>
      <c r="C15" s="31"/>
      <c r="D15" s="31"/>
      <c r="E15" s="31"/>
      <c r="F15" s="31"/>
      <c r="G15" s="31"/>
      <c r="H15" s="31"/>
      <c r="I15" s="31"/>
      <c r="J15" s="31"/>
      <c r="K15" s="31"/>
      <c r="L15" s="31"/>
      <c r="M15" s="31"/>
      <c r="N15" s="31"/>
      <c r="O15" s="31"/>
      <c r="P15" s="31"/>
      <c r="Q15" s="31"/>
      <c r="R15" s="31"/>
    </row>
    <row r="16">
      <c r="A16" s="28"/>
      <c r="B16" s="31"/>
      <c r="C16" s="31"/>
      <c r="D16" s="31"/>
      <c r="E16" s="31"/>
      <c r="F16" s="31"/>
      <c r="G16" s="31"/>
      <c r="H16" s="31"/>
      <c r="I16" s="31"/>
      <c r="J16" s="31"/>
      <c r="K16" s="31"/>
      <c r="L16" s="31"/>
      <c r="M16" s="31"/>
      <c r="N16" s="31"/>
      <c r="O16" s="31"/>
      <c r="P16" s="31"/>
      <c r="Q16" s="31"/>
      <c r="R16" s="31"/>
    </row>
    <row r="17">
      <c r="A17" s="28"/>
      <c r="B17" s="31"/>
      <c r="C17" s="31"/>
      <c r="D17" s="31"/>
      <c r="E17" s="31"/>
      <c r="F17" s="31"/>
      <c r="G17" s="31"/>
      <c r="H17" s="31"/>
      <c r="I17" s="31"/>
      <c r="J17" s="31"/>
      <c r="K17" s="31"/>
      <c r="L17" s="31"/>
      <c r="M17" s="31"/>
      <c r="N17" s="31"/>
      <c r="O17" s="31"/>
      <c r="P17" s="31"/>
      <c r="Q17" s="31"/>
      <c r="R17" s="31"/>
    </row>
    <row r="18">
      <c r="A18" s="28"/>
      <c r="B18" s="31"/>
      <c r="C18" s="31"/>
      <c r="D18" s="31"/>
      <c r="E18" s="31"/>
      <c r="F18" s="31"/>
      <c r="G18" s="31"/>
      <c r="H18" s="31"/>
      <c r="I18" s="31"/>
      <c r="J18" s="31"/>
      <c r="K18" s="31"/>
      <c r="L18" s="31"/>
      <c r="M18" s="31"/>
      <c r="N18" s="31"/>
      <c r="O18" s="31"/>
      <c r="P18" s="31"/>
      <c r="Q18" s="31"/>
      <c r="R18" s="31"/>
    </row>
    <row r="19">
      <c r="A19" s="28"/>
      <c r="B19" s="31"/>
      <c r="C19" s="31"/>
      <c r="D19" s="31"/>
      <c r="E19" s="31"/>
      <c r="F19" s="31"/>
      <c r="G19" s="31"/>
      <c r="H19" s="31"/>
      <c r="I19" s="31"/>
      <c r="J19" s="31"/>
      <c r="K19" s="31"/>
      <c r="L19" s="31"/>
      <c r="M19" s="31"/>
      <c r="N19" s="31"/>
      <c r="O19" s="31"/>
      <c r="P19" s="31"/>
      <c r="Q19" s="31"/>
      <c r="R19" s="31"/>
    </row>
    <row r="20">
      <c r="A20" s="28"/>
      <c r="B20" s="31"/>
      <c r="C20" s="31"/>
      <c r="D20" s="31"/>
      <c r="E20" s="31"/>
      <c r="F20" s="31"/>
      <c r="G20" s="31"/>
      <c r="H20" s="31"/>
      <c r="I20" s="31"/>
      <c r="J20" s="31"/>
      <c r="K20" s="31"/>
      <c r="L20" s="31"/>
      <c r="M20" s="31"/>
      <c r="N20" s="31"/>
      <c r="O20" s="31"/>
      <c r="P20" s="31"/>
      <c r="Q20" s="31"/>
      <c r="R20" s="31"/>
    </row>
    <row r="21">
      <c r="A21" s="28"/>
      <c r="B21" s="31"/>
      <c r="C21" s="31"/>
      <c r="D21" s="31"/>
      <c r="E21" s="31"/>
      <c r="F21" s="31"/>
      <c r="G21" s="31"/>
      <c r="H21" s="31"/>
      <c r="I21" s="31"/>
      <c r="J21" s="31"/>
      <c r="K21" s="31"/>
      <c r="L21" s="31"/>
      <c r="M21" s="31"/>
      <c r="N21" s="31"/>
      <c r="O21" s="31"/>
      <c r="P21" s="31"/>
      <c r="Q21" s="31"/>
      <c r="R21" s="31"/>
    </row>
    <row r="22">
      <c r="A22" s="28"/>
      <c r="B22" s="31"/>
      <c r="C22" s="31"/>
      <c r="D22" s="31"/>
      <c r="E22" s="31"/>
      <c r="F22" s="31"/>
      <c r="G22" s="31"/>
      <c r="H22" s="31"/>
      <c r="I22" s="31"/>
      <c r="J22" s="31"/>
      <c r="K22" s="31"/>
      <c r="L22" s="31"/>
      <c r="M22" s="31"/>
      <c r="N22" s="31"/>
      <c r="O22" s="31"/>
      <c r="P22" s="31"/>
      <c r="Q22" s="31"/>
      <c r="R22" s="31"/>
    </row>
    <row r="23">
      <c r="A23" s="28"/>
      <c r="B23" s="31"/>
      <c r="C23" s="31"/>
      <c r="D23" s="31"/>
      <c r="E23" s="31"/>
      <c r="F23" s="31"/>
      <c r="G23" s="31"/>
      <c r="H23" s="31"/>
      <c r="I23" s="31"/>
      <c r="J23" s="31"/>
      <c r="K23" s="31"/>
      <c r="L23" s="31"/>
      <c r="M23" s="31"/>
      <c r="N23" s="31"/>
      <c r="O23" s="31"/>
      <c r="P23" s="31"/>
      <c r="Q23" s="31"/>
      <c r="R23" s="31"/>
    </row>
    <row r="24">
      <c r="A24" s="28"/>
      <c r="B24" s="31"/>
      <c r="C24" s="31"/>
      <c r="D24" s="31"/>
      <c r="E24" s="31"/>
      <c r="F24" s="31"/>
      <c r="G24" s="31"/>
      <c r="H24" s="31"/>
      <c r="I24" s="31"/>
      <c r="J24" s="31"/>
      <c r="K24" s="31"/>
      <c r="L24" s="31"/>
      <c r="M24" s="31"/>
      <c r="N24" s="31"/>
      <c r="O24" s="31"/>
      <c r="P24" s="31"/>
      <c r="Q24" s="31"/>
      <c r="R24" s="31"/>
    </row>
    <row r="25">
      <c r="A25" s="28"/>
      <c r="B25" s="31"/>
      <c r="C25" s="31"/>
      <c r="D25" s="31"/>
      <c r="E25" s="31"/>
      <c r="F25" s="31"/>
      <c r="G25" s="31"/>
      <c r="H25" s="31"/>
      <c r="I25" s="31"/>
      <c r="J25" s="31"/>
      <c r="K25" s="31"/>
      <c r="L25" s="31"/>
      <c r="M25" s="31"/>
      <c r="N25" s="31"/>
      <c r="O25" s="31"/>
      <c r="P25" s="31"/>
      <c r="Q25" s="31"/>
      <c r="R25" s="31"/>
    </row>
    <row r="26">
      <c r="A26" s="28"/>
      <c r="B26" s="31"/>
      <c r="C26" s="31"/>
      <c r="D26" s="31"/>
      <c r="E26" s="31"/>
      <c r="F26" s="31"/>
      <c r="G26" s="31"/>
      <c r="H26" s="31"/>
      <c r="I26" s="31"/>
      <c r="J26" s="31"/>
      <c r="K26" s="31"/>
      <c r="L26" s="31"/>
      <c r="M26" s="31"/>
      <c r="N26" s="31"/>
      <c r="O26" s="31"/>
      <c r="P26" s="31"/>
      <c r="Q26" s="31"/>
      <c r="R26" s="31"/>
    </row>
    <row r="27">
      <c r="A27" s="28"/>
      <c r="B27" s="31"/>
      <c r="C27" s="31"/>
      <c r="D27" s="31"/>
      <c r="E27" s="31"/>
      <c r="F27" s="31"/>
      <c r="G27" s="31"/>
      <c r="H27" s="31"/>
      <c r="I27" s="31"/>
      <c r="J27" s="31"/>
      <c r="K27" s="31"/>
      <c r="L27" s="31"/>
      <c r="M27" s="31"/>
      <c r="N27" s="31"/>
      <c r="O27" s="31"/>
      <c r="P27" s="31"/>
      <c r="Q27" s="31"/>
      <c r="R27" s="31"/>
    </row>
    <row r="28" ht="15.75" customHeight="1">
      <c r="A28" s="28"/>
      <c r="B28" s="31"/>
      <c r="C28" s="31"/>
      <c r="D28" s="31"/>
      <c r="E28" s="31"/>
      <c r="F28" s="31"/>
      <c r="G28" s="31"/>
      <c r="H28" s="31"/>
      <c r="I28" s="31"/>
      <c r="J28" s="31"/>
      <c r="K28" s="31"/>
      <c r="L28" s="31"/>
      <c r="M28" s="31"/>
      <c r="N28" s="31"/>
      <c r="O28" s="31"/>
      <c r="P28" s="31"/>
      <c r="Q28" s="31"/>
      <c r="R28" s="31"/>
    </row>
    <row r="29" ht="15.75" customHeight="1">
      <c r="A29" s="28"/>
      <c r="B29" s="31"/>
      <c r="C29" s="31"/>
      <c r="D29" s="31"/>
      <c r="E29" s="31"/>
      <c r="F29" s="31"/>
      <c r="G29" s="31"/>
      <c r="H29" s="31"/>
      <c r="I29" s="31"/>
      <c r="J29" s="31"/>
      <c r="K29" s="31"/>
      <c r="L29" s="31"/>
      <c r="M29" s="31"/>
      <c r="N29" s="31"/>
      <c r="O29" s="31"/>
      <c r="P29" s="31"/>
      <c r="Q29" s="31"/>
      <c r="R29" s="31"/>
    </row>
    <row r="30" ht="15.75" customHeight="1">
      <c r="A30" s="28"/>
      <c r="B30" s="31"/>
      <c r="C30" s="31"/>
      <c r="D30" s="31"/>
      <c r="E30" s="31"/>
      <c r="F30" s="31"/>
      <c r="G30" s="31"/>
      <c r="H30" s="31"/>
      <c r="I30" s="31"/>
      <c r="J30" s="31"/>
      <c r="K30" s="31"/>
      <c r="L30" s="31"/>
      <c r="M30" s="31"/>
      <c r="N30" s="31"/>
      <c r="O30" s="31"/>
      <c r="P30" s="31"/>
      <c r="Q30" s="31"/>
      <c r="R30" s="31"/>
    </row>
    <row r="31" ht="15.75" customHeight="1">
      <c r="A31" s="28"/>
      <c r="B31" s="31"/>
      <c r="C31" s="31"/>
      <c r="D31" s="31"/>
      <c r="E31" s="31"/>
      <c r="F31" s="31"/>
      <c r="G31" s="31"/>
      <c r="H31" s="31"/>
      <c r="I31" s="31"/>
      <c r="J31" s="31"/>
      <c r="K31" s="31"/>
      <c r="L31" s="31"/>
      <c r="M31" s="31"/>
      <c r="N31" s="31"/>
      <c r="O31" s="31"/>
      <c r="P31" s="31"/>
      <c r="Q31" s="31"/>
      <c r="R31" s="31"/>
    </row>
    <row r="32" ht="15.75" customHeight="1">
      <c r="A32" s="28"/>
      <c r="B32" s="31"/>
      <c r="C32" s="31"/>
      <c r="D32" s="31"/>
      <c r="E32" s="31"/>
      <c r="F32" s="31"/>
      <c r="G32" s="31"/>
      <c r="H32" s="31"/>
      <c r="I32" s="31"/>
      <c r="J32" s="31"/>
      <c r="K32" s="31"/>
      <c r="L32" s="31"/>
      <c r="M32" s="31"/>
      <c r="N32" s="31"/>
      <c r="O32" s="31"/>
      <c r="P32" s="31"/>
      <c r="Q32" s="31"/>
      <c r="R32" s="31"/>
    </row>
    <row r="33" ht="15.75" customHeight="1">
      <c r="A33" s="28"/>
      <c r="B33" s="31"/>
      <c r="C33" s="31"/>
      <c r="D33" s="31"/>
      <c r="E33" s="31"/>
      <c r="F33" s="31"/>
      <c r="G33" s="31"/>
      <c r="H33" s="31"/>
      <c r="I33" s="31"/>
      <c r="J33" s="31"/>
      <c r="K33" s="31"/>
      <c r="L33" s="31"/>
      <c r="M33" s="31"/>
      <c r="N33" s="31"/>
      <c r="O33" s="31"/>
      <c r="P33" s="31"/>
      <c r="Q33" s="31"/>
      <c r="R33" s="31"/>
    </row>
    <row r="34" ht="15.75" customHeight="1">
      <c r="A34" s="28"/>
      <c r="B34" s="31"/>
      <c r="C34" s="31"/>
      <c r="D34" s="31"/>
      <c r="E34" s="31"/>
      <c r="F34" s="31"/>
      <c r="G34" s="31"/>
      <c r="H34" s="31"/>
      <c r="I34" s="31"/>
      <c r="J34" s="31"/>
      <c r="K34" s="31"/>
      <c r="L34" s="31"/>
      <c r="M34" s="31"/>
      <c r="N34" s="31"/>
      <c r="O34" s="31"/>
      <c r="P34" s="31"/>
      <c r="Q34" s="31"/>
      <c r="R34" s="31"/>
    </row>
    <row r="35" ht="15.75" customHeight="1">
      <c r="A35" s="28"/>
      <c r="B35" s="31"/>
      <c r="C35" s="31"/>
      <c r="D35" s="31"/>
      <c r="E35" s="31"/>
      <c r="F35" s="31"/>
      <c r="G35" s="31"/>
      <c r="H35" s="31"/>
      <c r="I35" s="31"/>
      <c r="J35" s="31"/>
      <c r="K35" s="31"/>
      <c r="L35" s="31"/>
      <c r="M35" s="31"/>
      <c r="N35" s="31"/>
      <c r="O35" s="31"/>
      <c r="P35" s="31"/>
      <c r="Q35" s="31"/>
      <c r="R35" s="31"/>
    </row>
    <row r="36" ht="15.75" customHeight="1">
      <c r="A36" s="28"/>
      <c r="B36" s="31"/>
      <c r="C36" s="31"/>
      <c r="D36" s="31"/>
      <c r="E36" s="31"/>
      <c r="F36" s="31"/>
      <c r="G36" s="31"/>
      <c r="H36" s="31"/>
      <c r="I36" s="31"/>
      <c r="J36" s="31"/>
      <c r="K36" s="31"/>
      <c r="L36" s="31"/>
      <c r="M36" s="31"/>
      <c r="N36" s="31"/>
      <c r="O36" s="31"/>
      <c r="P36" s="31"/>
      <c r="Q36" s="31"/>
      <c r="R36" s="31"/>
    </row>
    <row r="37" ht="15.75" customHeight="1">
      <c r="A37" s="28"/>
      <c r="B37" s="31"/>
      <c r="C37" s="31"/>
      <c r="D37" s="31"/>
      <c r="E37" s="31"/>
      <c r="F37" s="31"/>
      <c r="G37" s="31"/>
      <c r="H37" s="31"/>
      <c r="I37" s="31"/>
      <c r="J37" s="31"/>
      <c r="K37" s="31"/>
      <c r="L37" s="31"/>
      <c r="M37" s="31"/>
      <c r="N37" s="31"/>
      <c r="O37" s="31"/>
      <c r="P37" s="31"/>
      <c r="Q37" s="31"/>
      <c r="R37" s="31"/>
    </row>
    <row r="38" ht="15.75" customHeight="1">
      <c r="A38" s="28"/>
      <c r="B38" s="31"/>
      <c r="C38" s="31"/>
      <c r="D38" s="31"/>
      <c r="E38" s="31"/>
      <c r="F38" s="31"/>
      <c r="G38" s="31"/>
      <c r="H38" s="31"/>
      <c r="I38" s="31"/>
      <c r="J38" s="31"/>
      <c r="K38" s="31"/>
      <c r="L38" s="31"/>
      <c r="M38" s="31"/>
      <c r="N38" s="31"/>
      <c r="O38" s="31"/>
      <c r="P38" s="31"/>
      <c r="Q38" s="31"/>
      <c r="R38" s="31"/>
    </row>
    <row r="39" ht="15.75" customHeight="1">
      <c r="A39" s="28"/>
      <c r="B39" s="31"/>
      <c r="C39" s="31"/>
      <c r="D39" s="31"/>
      <c r="E39" s="31"/>
      <c r="F39" s="31"/>
      <c r="G39" s="31"/>
      <c r="H39" s="31"/>
      <c r="I39" s="31"/>
      <c r="J39" s="31"/>
      <c r="K39" s="31"/>
      <c r="L39" s="31"/>
      <c r="M39" s="31"/>
      <c r="N39" s="31"/>
      <c r="O39" s="31"/>
      <c r="P39" s="31"/>
      <c r="Q39" s="31"/>
      <c r="R39" s="31"/>
    </row>
    <row r="40" ht="15.75" customHeight="1">
      <c r="A40" s="28"/>
      <c r="B40" s="31"/>
      <c r="C40" s="31"/>
      <c r="D40" s="31"/>
      <c r="E40" s="31"/>
      <c r="F40" s="31"/>
      <c r="G40" s="31"/>
      <c r="H40" s="31"/>
      <c r="I40" s="31"/>
      <c r="J40" s="31"/>
      <c r="K40" s="31"/>
      <c r="L40" s="31"/>
      <c r="M40" s="31"/>
      <c r="N40" s="31"/>
      <c r="O40" s="31"/>
      <c r="P40" s="31"/>
      <c r="Q40" s="31"/>
      <c r="R40" s="31"/>
    </row>
    <row r="41" ht="15.75" customHeight="1">
      <c r="A41" s="28"/>
      <c r="B41" s="31"/>
      <c r="C41" s="31"/>
      <c r="D41" s="31"/>
      <c r="E41" s="31"/>
      <c r="F41" s="31"/>
      <c r="G41" s="31"/>
      <c r="H41" s="31"/>
      <c r="I41" s="31"/>
      <c r="J41" s="31"/>
      <c r="K41" s="31"/>
      <c r="L41" s="31"/>
      <c r="M41" s="31"/>
      <c r="N41" s="31"/>
      <c r="O41" s="31"/>
      <c r="P41" s="31"/>
      <c r="Q41" s="31"/>
      <c r="R41" s="31"/>
    </row>
    <row r="42" ht="15.75" customHeight="1">
      <c r="A42" s="28"/>
      <c r="B42" s="31"/>
      <c r="C42" s="31"/>
      <c r="D42" s="31"/>
      <c r="E42" s="31"/>
      <c r="F42" s="31"/>
      <c r="G42" s="31"/>
      <c r="H42" s="31"/>
      <c r="I42" s="31"/>
      <c r="J42" s="31"/>
      <c r="K42" s="31"/>
      <c r="L42" s="31"/>
      <c r="M42" s="31"/>
      <c r="N42" s="31"/>
      <c r="O42" s="31"/>
      <c r="P42" s="31"/>
      <c r="Q42" s="31"/>
      <c r="R42" s="31"/>
    </row>
    <row r="43" ht="15.75" customHeight="1">
      <c r="A43" s="28"/>
      <c r="B43" s="31"/>
      <c r="C43" s="31"/>
      <c r="D43" s="31"/>
      <c r="E43" s="31"/>
      <c r="F43" s="31"/>
      <c r="G43" s="31"/>
      <c r="H43" s="31"/>
      <c r="I43" s="31"/>
      <c r="J43" s="31"/>
      <c r="K43" s="31"/>
      <c r="L43" s="31"/>
      <c r="M43" s="31"/>
      <c r="N43" s="31"/>
      <c r="O43" s="31"/>
      <c r="P43" s="31"/>
      <c r="Q43" s="31"/>
      <c r="R43" s="31"/>
    </row>
    <row r="44" ht="15.75" customHeight="1">
      <c r="A44" s="28"/>
      <c r="B44" s="31"/>
      <c r="C44" s="31"/>
      <c r="D44" s="31"/>
      <c r="E44" s="31"/>
      <c r="F44" s="31"/>
      <c r="G44" s="31"/>
      <c r="H44" s="31"/>
      <c r="I44" s="31"/>
      <c r="J44" s="31"/>
      <c r="K44" s="31"/>
      <c r="L44" s="31"/>
      <c r="M44" s="31"/>
      <c r="N44" s="31"/>
      <c r="O44" s="31"/>
      <c r="P44" s="31"/>
      <c r="Q44" s="31"/>
      <c r="R44" s="31"/>
    </row>
    <row r="45" ht="15.75" customHeight="1">
      <c r="A45" s="28"/>
      <c r="B45" s="31"/>
      <c r="C45" s="31"/>
      <c r="D45" s="31"/>
      <c r="E45" s="31"/>
      <c r="F45" s="31"/>
      <c r="G45" s="31"/>
      <c r="H45" s="31"/>
      <c r="I45" s="31"/>
      <c r="J45" s="31"/>
      <c r="K45" s="31"/>
      <c r="L45" s="31"/>
      <c r="M45" s="31"/>
      <c r="N45" s="31"/>
      <c r="O45" s="31"/>
      <c r="P45" s="31"/>
      <c r="Q45" s="31"/>
      <c r="R45" s="31"/>
    </row>
    <row r="46" ht="15.75" customHeight="1">
      <c r="A46" s="28"/>
      <c r="B46" s="31"/>
      <c r="C46" s="31"/>
      <c r="D46" s="31"/>
      <c r="E46" s="31"/>
      <c r="F46" s="31"/>
      <c r="G46" s="31"/>
      <c r="H46" s="31"/>
      <c r="I46" s="31"/>
      <c r="J46" s="31"/>
      <c r="K46" s="31"/>
      <c r="L46" s="31"/>
      <c r="M46" s="31"/>
      <c r="N46" s="31"/>
      <c r="O46" s="31"/>
      <c r="P46" s="31"/>
      <c r="Q46" s="31"/>
      <c r="R46" s="31"/>
    </row>
    <row r="47" ht="15.75" customHeight="1">
      <c r="A47" s="28"/>
      <c r="B47" s="31"/>
      <c r="C47" s="31"/>
      <c r="D47" s="31"/>
      <c r="E47" s="31"/>
      <c r="F47" s="31"/>
      <c r="G47" s="31"/>
      <c r="H47" s="31"/>
      <c r="I47" s="31"/>
      <c r="J47" s="31"/>
      <c r="K47" s="31"/>
      <c r="L47" s="31"/>
      <c r="M47" s="31"/>
      <c r="N47" s="31"/>
      <c r="O47" s="31"/>
      <c r="P47" s="31"/>
      <c r="Q47" s="31"/>
      <c r="R47" s="31"/>
    </row>
    <row r="48" ht="15.75" customHeight="1">
      <c r="A48" s="28"/>
      <c r="B48" s="31"/>
      <c r="C48" s="31"/>
      <c r="D48" s="31"/>
      <c r="E48" s="31"/>
      <c r="F48" s="31"/>
      <c r="G48" s="31"/>
      <c r="H48" s="31"/>
      <c r="I48" s="31"/>
      <c r="J48" s="31"/>
      <c r="K48" s="31"/>
      <c r="L48" s="31"/>
      <c r="M48" s="31"/>
      <c r="N48" s="31"/>
      <c r="O48" s="31"/>
      <c r="P48" s="31"/>
      <c r="Q48" s="31"/>
      <c r="R48" s="31"/>
    </row>
    <row r="49" ht="15.75" customHeight="1">
      <c r="A49" s="28"/>
      <c r="B49" s="31"/>
      <c r="C49" s="31"/>
      <c r="D49" s="31"/>
      <c r="E49" s="31"/>
      <c r="F49" s="31"/>
      <c r="G49" s="31"/>
      <c r="H49" s="31"/>
      <c r="I49" s="31"/>
      <c r="J49" s="31"/>
      <c r="K49" s="31"/>
      <c r="L49" s="31"/>
      <c r="M49" s="31"/>
      <c r="N49" s="31"/>
      <c r="O49" s="31"/>
      <c r="P49" s="31"/>
      <c r="Q49" s="31"/>
      <c r="R49" s="31"/>
    </row>
    <row r="50" ht="15.75" customHeight="1">
      <c r="A50" s="28"/>
      <c r="B50" s="31"/>
      <c r="C50" s="31"/>
      <c r="D50" s="31"/>
      <c r="E50" s="31"/>
      <c r="F50" s="31"/>
      <c r="G50" s="31"/>
      <c r="H50" s="31"/>
      <c r="I50" s="31"/>
      <c r="J50" s="31"/>
      <c r="K50" s="31"/>
      <c r="L50" s="31"/>
      <c r="M50" s="31"/>
      <c r="N50" s="31"/>
      <c r="O50" s="31"/>
      <c r="P50" s="31"/>
      <c r="Q50" s="31"/>
      <c r="R50" s="31"/>
    </row>
    <row r="51" ht="15.75" customHeight="1">
      <c r="A51" s="28"/>
      <c r="B51" s="31"/>
      <c r="C51" s="31"/>
      <c r="D51" s="31"/>
      <c r="E51" s="31"/>
      <c r="F51" s="31"/>
      <c r="G51" s="31"/>
      <c r="H51" s="31"/>
      <c r="I51" s="31"/>
      <c r="J51" s="31"/>
      <c r="K51" s="31"/>
      <c r="L51" s="31"/>
      <c r="M51" s="31"/>
      <c r="N51" s="31"/>
      <c r="O51" s="31"/>
      <c r="P51" s="31"/>
      <c r="Q51" s="31"/>
      <c r="R51" s="31"/>
    </row>
    <row r="52" ht="15.75" customHeight="1">
      <c r="A52" s="28"/>
      <c r="B52" s="31"/>
      <c r="C52" s="31"/>
      <c r="D52" s="31"/>
      <c r="E52" s="31"/>
      <c r="F52" s="31"/>
      <c r="G52" s="31"/>
      <c r="H52" s="31"/>
      <c r="I52" s="31"/>
      <c r="J52" s="31"/>
      <c r="K52" s="31"/>
      <c r="L52" s="31"/>
      <c r="M52" s="31"/>
      <c r="N52" s="31"/>
      <c r="O52" s="31"/>
      <c r="P52" s="31"/>
      <c r="Q52" s="31"/>
      <c r="R52" s="31"/>
    </row>
    <row r="53" ht="15.75" customHeight="1">
      <c r="A53" s="28"/>
      <c r="B53" s="31"/>
      <c r="C53" s="31"/>
      <c r="D53" s="31"/>
      <c r="E53" s="31"/>
      <c r="F53" s="31"/>
      <c r="G53" s="31"/>
      <c r="H53" s="31"/>
      <c r="I53" s="31"/>
      <c r="J53" s="31"/>
      <c r="K53" s="31"/>
      <c r="L53" s="31"/>
      <c r="M53" s="31"/>
      <c r="N53" s="31"/>
      <c r="O53" s="31"/>
      <c r="P53" s="31"/>
      <c r="Q53" s="31"/>
      <c r="R53" s="31"/>
    </row>
    <row r="54" ht="15.75" customHeight="1">
      <c r="A54" s="28"/>
      <c r="B54" s="31"/>
      <c r="C54" s="31"/>
      <c r="D54" s="31"/>
      <c r="E54" s="31"/>
      <c r="F54" s="31"/>
      <c r="G54" s="31"/>
      <c r="H54" s="31"/>
      <c r="I54" s="31"/>
      <c r="J54" s="31"/>
      <c r="K54" s="31"/>
      <c r="L54" s="31"/>
      <c r="M54" s="31"/>
      <c r="N54" s="31"/>
      <c r="O54" s="31"/>
      <c r="P54" s="31"/>
      <c r="Q54" s="31"/>
      <c r="R54" s="31"/>
    </row>
  </sheetData>
  <mergeCells count="3">
    <mergeCell ref="G10:H10"/>
    <mergeCell ref="J8:L9"/>
    <mergeCell ref="G8:H9"/>
  </mergeCells>
  <printOptions/>
  <pageMargins bottom="0.787401575" footer="0.0" header="0.0" left="0.511811024" right="0.511811024" top="0.787401575"/>
  <pageSetup orientation="landscape"/>
  <drawing r:id="rId1"/>
  <extLst>
    <ext uri="{3A4CF648-6AED-40f4-86FF-DC5316D8AED3}">
      <x14:slicerList>
        <x14:slicer r:id="rId2"/>
      </x14:slicerList>
    </ext>
  </extLst>
</worksheet>
</file>